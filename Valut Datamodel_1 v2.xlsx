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P\Desktop\ITC\Archive\"/>
    </mc:Choice>
  </mc:AlternateContent>
  <xr:revisionPtr revIDLastSave="0" documentId="8_{05BADDF8-1309-4A86-A4F4-E52AB70737B1}" xr6:coauthVersionLast="47" xr6:coauthVersionMax="47" xr10:uidLastSave="{00000000-0000-0000-0000-000000000000}"/>
  <bookViews>
    <workbookView xWindow="-110" yWindow="-110" windowWidth="25820" windowHeight="13900" tabRatio="782" firstSheet="1" activeTab="4" xr2:uid="{BEA0651D-EEF2-4203-8580-40D79BD03033}"/>
  </bookViews>
  <sheets>
    <sheet name="Sheet1" sheetId="1" state="hidden" r:id="rId1"/>
    <sheet name="DATA MODEL" sheetId="5" r:id="rId2"/>
    <sheet name="Questions" sheetId="13" r:id="rId3"/>
    <sheet name="Data Vault Modeling" sheetId="14" r:id="rId4"/>
    <sheet name="Sheet5" sheetId="16" r:id="rId5"/>
    <sheet name="Vault Model" sheetId="15" r:id="rId6"/>
    <sheet name="Sheet2" sheetId="3" state="hidden" r:id="rId7"/>
    <sheet name="FACT_Sales" sheetId="4" r:id="rId8"/>
    <sheet name="DIM_Product" sheetId="7" r:id="rId9"/>
    <sheet name="DIM_Retail Store" sheetId="8" r:id="rId10"/>
    <sheet name="DIM_Customer" sheetId="10" r:id="rId11"/>
    <sheet name="DIM_Inventory" sheetId="9" r:id="rId12"/>
    <sheet name="DIM_Manufacturer" sheetId="6" r:id="rId13"/>
    <sheet name="DIM_DATE" sheetId="11" r:id="rId14"/>
    <sheet name="DIM PROMOTION" sheetId="12" r:id="rId15"/>
    <sheet name="SQL" sheetId="17" r:id="rId16"/>
    <sheet name="Notes" sheetId="2" state="hidden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" i="17" l="1"/>
  <c r="AB24" i="17"/>
  <c r="Y22" i="17"/>
  <c r="Y25" i="17" s="1"/>
  <c r="V22" i="17"/>
</calcChain>
</file>

<file path=xl/sharedStrings.xml><?xml version="1.0" encoding="utf-8"?>
<sst xmlns="http://schemas.openxmlformats.org/spreadsheetml/2006/main" count="1045" uniqueCount="448">
  <si>
    <t>Raymond T-Shirt Manufacturing and Retail Distribution in India – Data Module</t>
  </si>
  <si>
    <t>Company Name:</t>
  </si>
  <si>
    <t>Head Office:</t>
  </si>
  <si>
    <t>Business:</t>
  </si>
  <si>
    <t>Company Overview:</t>
  </si>
  <si>
    <t>Raymond</t>
  </si>
  <si>
    <t>Mumbai, India</t>
  </si>
  <si>
    <t>Textile manufacturing</t>
  </si>
  <si>
    <t>T-Shirt Manufacturing Locations (India)</t>
  </si>
  <si>
    <t>Manufacturing Facility</t>
  </si>
  <si>
    <t>State</t>
  </si>
  <si>
    <t>Products</t>
  </si>
  <si>
    <t>Chhindwara</t>
  </si>
  <si>
    <t>Madhya Pradesh</t>
  </si>
  <si>
    <t>Garments including T-shirts, shirts, trousers</t>
  </si>
  <si>
    <t>Vapi</t>
  </si>
  <si>
    <t>Gujarat</t>
  </si>
  <si>
    <t>Fabrics and apparel manufacturing</t>
  </si>
  <si>
    <t>Jalgaon</t>
  </si>
  <si>
    <t>Maharashtra</t>
  </si>
  <si>
    <t>Textile and garment production</t>
  </si>
  <si>
    <t>Aurangabad</t>
  </si>
  <si>
    <t>Apparel manufacturing and finishing</t>
  </si>
  <si>
    <t>Raymond operates integrated manufacturing facilities across India for fabrics and ready-made T-shirts, supplying for domestic demands</t>
  </si>
  <si>
    <t>Retail Network</t>
  </si>
  <si>
    <t>Category</t>
  </si>
  <si>
    <t>Details</t>
  </si>
  <si>
    <t>Exclusive Raymond Stores</t>
  </si>
  <si>
    <t>1,100+ stores</t>
  </si>
  <si>
    <t>Presence</t>
  </si>
  <si>
    <t>500+ towns and cities across India</t>
  </si>
  <si>
    <t>Distribution</t>
  </si>
  <si>
    <t>Large network of branded outlets and multi-brand retailers</t>
  </si>
  <si>
    <t>Services</t>
  </si>
  <si>
    <t>Ready-made garments, T-shirts, custom tailoring, fabrics</t>
  </si>
  <si>
    <t>Raymond has one of India's largest apparel retail networks through The Raymond Shop and other brand-specific stores</t>
  </si>
  <si>
    <t>Raymond Brands Selling T-Shirts</t>
  </si>
  <si>
    <t>Raymond Ready-to-Wear</t>
  </si>
  <si>
    <t>Park Avenue</t>
  </si>
  <si>
    <t>ColorPlus</t>
  </si>
  <si>
    <t>Parx</t>
  </si>
  <si>
    <t>Retail Presence Across India (Raymond products are available in:)</t>
  </si>
  <si>
    <t>North India</t>
  </si>
  <si>
    <t>South India</t>
  </si>
  <si>
    <t>East India</t>
  </si>
  <si>
    <t>West India</t>
  </si>
  <si>
    <t>Tier-1, Tier-2, Tier-3, and emerging towns</t>
  </si>
  <si>
    <t>Supply Chain Flow</t>
  </si>
  <si>
    <t>Raw Material</t>
  </si>
  <si>
    <t>Textile Manufacturing
(Vapi, Jalgaon)</t>
  </si>
  <si>
    <t>Garment Manufacturing
(Chhindwara, Aurangabad)</t>
  </si>
  <si>
    <t>Distribution Centres</t>
  </si>
  <si>
    <t>Customers Across India</t>
  </si>
  <si>
    <r>
      <t xml:space="preserve">The </t>
    </r>
    <r>
      <rPr>
        <b/>
        <sz val="11"/>
        <color indexed="10"/>
        <rFont val="Aptos Narrow"/>
        <family val="2"/>
      </rPr>
      <t>Raymond Shop</t>
    </r>
    <r>
      <rPr>
        <b/>
        <sz val="11"/>
        <color indexed="8"/>
        <rFont val="Aptos Narrow"/>
        <family val="2"/>
      </rPr>
      <t xml:space="preserve"> Brand Outlets and  </t>
    </r>
    <r>
      <rPr>
        <b/>
        <sz val="11"/>
        <color indexed="10"/>
        <rFont val="Aptos Narrow"/>
        <family val="2"/>
      </rPr>
      <t>Multi-brand Retailers Online Sales</t>
    </r>
  </si>
  <si>
    <t>Key Statistics</t>
  </si>
  <si>
    <t>Parameter</t>
  </si>
  <si>
    <t>Value</t>
  </si>
  <si>
    <t>Headquarters</t>
  </si>
  <si>
    <t>Mumbai, Maharashtra</t>
  </si>
  <si>
    <t>Manufacturing Facilities</t>
  </si>
  <si>
    <t>4 major integrated plants</t>
  </si>
  <si>
    <t>Retail Stores</t>
  </si>
  <si>
    <t>1,100+</t>
  </si>
  <si>
    <t>500+ towns across India</t>
  </si>
  <si>
    <t>Product Categories</t>
  </si>
  <si>
    <t>Sales Channels</t>
  </si>
  <si>
    <t>Exclusive Raymond Shops, multi-brand retailers, e-commerce</t>
  </si>
  <si>
    <t>T-shirts</t>
  </si>
  <si>
    <t>This data module provides a concise overview of Raymond's T-shirt manufacturing locations and its nationwide retail distribution network.</t>
  </si>
  <si>
    <t>1. Manufacturer Table</t>
  </si>
  <si>
    <t>2. Product Table</t>
  </si>
  <si>
    <t>3. Retail Store Table</t>
  </si>
  <si>
    <t>4. Inventory Table</t>
  </si>
  <si>
    <t>5. Customer Table</t>
  </si>
  <si>
    <t>6. Sales Table</t>
  </si>
  <si>
    <t>Manufacturer</t>
  </si>
  <si>
    <t>&lt; Manufactures &gt;</t>
  </si>
  <si>
    <t>Product (1)</t>
  </si>
  <si>
    <t>&lt; Inventory &gt;</t>
  </si>
  <si>
    <t>&lt; Sales &gt;</t>
  </si>
  <si>
    <t>Store</t>
  </si>
  <si>
    <t>Customer</t>
  </si>
  <si>
    <t>Relationships</t>
  </si>
  <si>
    <r>
      <t>One Manufacturer</t>
    </r>
    <r>
      <rPr>
        <sz val="11"/>
        <color theme="1"/>
        <rFont val="Aptos Narrow"/>
        <family val="2"/>
        <scheme val="minor"/>
      </rPr>
      <t xml:space="preserve"> → manufactures </t>
    </r>
    <r>
      <rPr>
        <b/>
        <sz val="11"/>
        <color indexed="8"/>
        <rFont val="Aptos Narrow"/>
        <family val="2"/>
      </rPr>
      <t>many Products</t>
    </r>
    <r>
      <rPr>
        <sz val="11"/>
        <color theme="1"/>
        <rFont val="Aptos Narrow"/>
        <family val="2"/>
        <scheme val="minor"/>
      </rPr>
      <t>.</t>
    </r>
  </si>
  <si>
    <r>
      <t>One Product</t>
    </r>
    <r>
      <rPr>
        <sz val="11"/>
        <color theme="1"/>
        <rFont val="Aptos Narrow"/>
        <family val="2"/>
        <scheme val="minor"/>
      </rPr>
      <t xml:space="preserve"> → is stocked in </t>
    </r>
    <r>
      <rPr>
        <b/>
        <sz val="11"/>
        <color indexed="8"/>
        <rFont val="Aptos Narrow"/>
        <family val="2"/>
      </rPr>
      <t>many Stores</t>
    </r>
    <r>
      <rPr>
        <sz val="11"/>
        <color theme="1"/>
        <rFont val="Aptos Narrow"/>
        <family val="2"/>
        <scheme val="minor"/>
      </rPr>
      <t xml:space="preserve"> (via the </t>
    </r>
    <r>
      <rPr>
        <b/>
        <sz val="11"/>
        <color indexed="8"/>
        <rFont val="Aptos Narrow"/>
        <family val="2"/>
      </rPr>
      <t>Inventory</t>
    </r>
    <r>
      <rPr>
        <sz val="11"/>
        <color theme="1"/>
        <rFont val="Aptos Narrow"/>
        <family val="2"/>
        <scheme val="minor"/>
      </rPr>
      <t xml:space="preserve"> table).</t>
    </r>
  </si>
  <si>
    <r>
      <t>One Store</t>
    </r>
    <r>
      <rPr>
        <sz val="11"/>
        <color theme="1"/>
        <rFont val="Aptos Narrow"/>
        <family val="2"/>
        <scheme val="minor"/>
      </rPr>
      <t xml:space="preserve"> → stocks </t>
    </r>
    <r>
      <rPr>
        <b/>
        <sz val="11"/>
        <color indexed="8"/>
        <rFont val="Aptos Narrow"/>
        <family val="2"/>
      </rPr>
      <t>many Products</t>
    </r>
    <r>
      <rPr>
        <sz val="11"/>
        <color theme="1"/>
        <rFont val="Aptos Narrow"/>
        <family val="2"/>
        <scheme val="minor"/>
      </rPr>
      <t>.</t>
    </r>
  </si>
  <si>
    <r>
      <t>One Customer</t>
    </r>
    <r>
      <rPr>
        <sz val="11"/>
        <color theme="1"/>
        <rFont val="Aptos Narrow"/>
        <family val="2"/>
        <scheme val="minor"/>
      </rPr>
      <t xml:space="preserve"> → can make </t>
    </r>
    <r>
      <rPr>
        <b/>
        <sz val="11"/>
        <color indexed="8"/>
        <rFont val="Aptos Narrow"/>
        <family val="2"/>
      </rPr>
      <t>many Sales</t>
    </r>
    <r>
      <rPr>
        <sz val="11"/>
        <color theme="1"/>
        <rFont val="Aptos Narrow"/>
        <family val="2"/>
        <scheme val="minor"/>
      </rPr>
      <t>.</t>
    </r>
  </si>
  <si>
    <r>
      <t>One Sale</t>
    </r>
    <r>
      <rPr>
        <sz val="11"/>
        <color theme="1"/>
        <rFont val="Aptos Narrow"/>
        <family val="2"/>
        <scheme val="minor"/>
      </rPr>
      <t xml:space="preserve"> → belongs to one </t>
    </r>
    <r>
      <rPr>
        <b/>
        <sz val="11"/>
        <color indexed="8"/>
        <rFont val="Aptos Narrow"/>
        <family val="2"/>
      </rPr>
      <t>Customer</t>
    </r>
    <r>
      <rPr>
        <sz val="11"/>
        <color theme="1"/>
        <rFont val="Aptos Narrow"/>
        <family val="2"/>
        <scheme val="minor"/>
      </rPr>
      <t xml:space="preserve">, one </t>
    </r>
    <r>
      <rPr>
        <b/>
        <sz val="11"/>
        <color indexed="8"/>
        <rFont val="Aptos Narrow"/>
        <family val="2"/>
      </rPr>
      <t>Product</t>
    </r>
    <r>
      <rPr>
        <sz val="11"/>
        <color theme="1"/>
        <rFont val="Aptos Narrow"/>
        <family val="2"/>
        <scheme val="minor"/>
      </rPr>
      <t xml:space="preserve">, and one </t>
    </r>
    <r>
      <rPr>
        <b/>
        <sz val="11"/>
        <color indexed="8"/>
        <rFont val="Aptos Narrow"/>
        <family val="2"/>
      </rPr>
      <t>Store</t>
    </r>
    <r>
      <rPr>
        <sz val="11"/>
        <color theme="1"/>
        <rFont val="Aptos Narrow"/>
        <family val="2"/>
        <scheme val="minor"/>
      </rPr>
      <t>.</t>
    </r>
  </si>
  <si>
    <t>FACT_SALES</t>
  </si>
  <si>
    <t>DIM_PRODUCT</t>
  </si>
  <si>
    <t>DIM_STORE</t>
  </si>
  <si>
    <t>DIM_CUSTOMER</t>
  </si>
  <si>
    <t>DIM_DATE</t>
  </si>
  <si>
    <t>DIM_MANUFACTURER</t>
  </si>
  <si>
    <t xml:space="preserve">DIM_PRODUCT </t>
  </si>
  <si>
    <t xml:space="preserve">Product_Key (PK)    </t>
  </si>
  <si>
    <t xml:space="preserve">Product_ID   </t>
  </si>
  <si>
    <t xml:space="preserve">Product_Name  </t>
  </si>
  <si>
    <t xml:space="preserve">Brand      </t>
  </si>
  <si>
    <t xml:space="preserve">Size    </t>
  </si>
  <si>
    <t>Colour</t>
  </si>
  <si>
    <t xml:space="preserve">MRP </t>
  </si>
  <si>
    <t xml:space="preserve">Store_Key (PK) </t>
  </si>
  <si>
    <t xml:space="preserve">Store_ID </t>
  </si>
  <si>
    <t xml:space="preserve">Store_Name </t>
  </si>
  <si>
    <t xml:space="preserve">City  </t>
  </si>
  <si>
    <t>Region</t>
  </si>
  <si>
    <t>Customer_Key (PK)</t>
  </si>
  <si>
    <t>Customer_ID</t>
  </si>
  <si>
    <t>Customer_Name</t>
  </si>
  <si>
    <t>Gender</t>
  </si>
  <si>
    <t>Age_Group</t>
  </si>
  <si>
    <t>City</t>
  </si>
  <si>
    <t>Sales_Key (PK)</t>
  </si>
  <si>
    <t>Date_Key (FK)</t>
  </si>
  <si>
    <t>Product_Key (FK)</t>
  </si>
  <si>
    <t xml:space="preserve">Store_Key (FK) </t>
  </si>
  <si>
    <t>Customer_Key (FK)</t>
  </si>
  <si>
    <t>Manufacturer_Key (FK)</t>
  </si>
  <si>
    <t>Quantity Sold</t>
  </si>
  <si>
    <t xml:space="preserve">Sales Amount </t>
  </si>
  <si>
    <t>Discount</t>
  </si>
  <si>
    <t xml:space="preserve">Profit  </t>
  </si>
  <si>
    <t xml:space="preserve">Date_Key (PK) </t>
  </si>
  <si>
    <t>Date</t>
  </si>
  <si>
    <t xml:space="preserve">Day </t>
  </si>
  <si>
    <t>Month</t>
  </si>
  <si>
    <t>Quarter</t>
  </si>
  <si>
    <t>Year</t>
  </si>
  <si>
    <t>Manufacturer_Key (PK)</t>
  </si>
  <si>
    <t>Manufacturer_Name</t>
  </si>
  <si>
    <t>Factory_Name</t>
  </si>
  <si>
    <t>Dimension Table</t>
  </si>
  <si>
    <t>FACT Table</t>
  </si>
  <si>
    <t>Feature</t>
  </si>
  <si>
    <t>Fact Table</t>
  </si>
  <si>
    <t>Factless Fact Table</t>
  </si>
  <si>
    <t>Stores numeric measures</t>
  </si>
  <si>
    <t>Yes</t>
  </si>
  <si>
    <t>No</t>
  </si>
  <si>
    <t>Contains business metrics</t>
  </si>
  <si>
    <t>Contains foreign keys</t>
  </si>
  <si>
    <t>Records events</t>
  </si>
  <si>
    <t>Used for sales analysis</t>
  </si>
  <si>
    <t>Used for attendance, visits, inventory presence, eligibility</t>
  </si>
  <si>
    <t>Factless Fact Tables</t>
  </si>
  <si>
    <r>
      <t>FACT_PRODUCT_STORE</t>
    </r>
    <r>
      <rPr>
        <sz val="11"/>
        <color theme="1"/>
        <rFont val="Aptos Narrow"/>
        <family val="2"/>
        <scheme val="minor"/>
      </rPr>
      <t xml:space="preserve"> – Tracks which products are stocked in which stores.</t>
    </r>
  </si>
  <si>
    <r>
      <t>FACT_STORE_VISIT</t>
    </r>
    <r>
      <rPr>
        <sz val="11"/>
        <color theme="1"/>
        <rFont val="Aptos Narrow"/>
        <family val="2"/>
        <scheme val="minor"/>
      </rPr>
      <t xml:space="preserve"> – Tracks customer visits to stores, regardless of whether a purchase was made.</t>
    </r>
  </si>
  <si>
    <r>
      <t>FACT_PROMOTION_ELIGIBILITY</t>
    </r>
    <r>
      <rPr>
        <sz val="11"/>
        <color theme="1"/>
        <rFont val="Aptos Narrow"/>
        <family val="2"/>
        <scheme val="minor"/>
      </rPr>
      <t xml:space="preserve"> – Tracks which products were eligible for a promotion at specific stores and dates.</t>
    </r>
  </si>
  <si>
    <r>
      <t xml:space="preserve">This combination of </t>
    </r>
    <r>
      <rPr>
        <b/>
        <sz val="11"/>
        <color indexed="8"/>
        <rFont val="Aptos Narrow"/>
        <family val="2"/>
      </rPr>
      <t>dimension tables</t>
    </r>
    <r>
      <rPr>
        <sz val="11"/>
        <color theme="1"/>
        <rFont val="Aptos Narrow"/>
        <family val="2"/>
        <scheme val="minor"/>
      </rPr>
      <t xml:space="preserve">, a </t>
    </r>
    <r>
      <rPr>
        <b/>
        <sz val="11"/>
        <color indexed="8"/>
        <rFont val="Aptos Narrow"/>
        <family val="2"/>
      </rPr>
      <t>fact table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indexed="8"/>
        <rFont val="Aptos Narrow"/>
        <family val="2"/>
      </rPr>
      <t>factless fact tables</t>
    </r>
    <r>
      <rPr>
        <sz val="11"/>
        <color theme="1"/>
        <rFont val="Aptos Narrow"/>
        <family val="2"/>
        <scheme val="minor"/>
      </rPr>
      <t xml:space="preserve"> is a standard data warehouse design for retail analytics and supports reporting on sales, inventory presence, customer traffic, and promotional campaigns.</t>
    </r>
  </si>
  <si>
    <t>Product_ID</t>
  </si>
  <si>
    <t>Product_Name</t>
  </si>
  <si>
    <t>Brand</t>
  </si>
  <si>
    <t>Size</t>
  </si>
  <si>
    <t>MRP</t>
  </si>
  <si>
    <t>Crew Neck T-Shirt</t>
  </si>
  <si>
    <t>M</t>
  </si>
  <si>
    <t>Navy Blue</t>
  </si>
  <si>
    <t>Polo T-Shirt</t>
  </si>
  <si>
    <t>L</t>
  </si>
  <si>
    <t>White</t>
  </si>
  <si>
    <t>Field Name</t>
  </si>
  <si>
    <t>Data Type</t>
  </si>
  <si>
    <t>Description</t>
  </si>
  <si>
    <t>Manufacturer_ID</t>
  </si>
  <si>
    <t>INT (PK)</t>
  </si>
  <si>
    <t>Unique manufacturer ID</t>
  </si>
  <si>
    <t>VARCHAR(100)</t>
  </si>
  <si>
    <t>Raymond Lifestyle Ltd.</t>
  </si>
  <si>
    <t>Chhindwara Garment Plant</t>
  </si>
  <si>
    <t>VARCHAR(50)</t>
  </si>
  <si>
    <t>Production_Capacity</t>
  </si>
  <si>
    <t>INT</t>
  </si>
  <si>
    <t>Monthly production quantity</t>
  </si>
  <si>
    <t>Contact_Number</t>
  </si>
  <si>
    <t>VARCHAR(20)</t>
  </si>
  <si>
    <t>Factory contact number</t>
  </si>
  <si>
    <t>Chhindwara Plant</t>
  </si>
  <si>
    <t>Vapi Plant</t>
  </si>
  <si>
    <t>Product ID</t>
  </si>
  <si>
    <t>VARCHAR(10)</t>
  </si>
  <si>
    <t>VARCHAR(30)</t>
  </si>
  <si>
    <t>DECIMAL(10,2)</t>
  </si>
  <si>
    <t>Selling Price</t>
  </si>
  <si>
    <t>Store_ID</t>
  </si>
  <si>
    <t>Store ID</t>
  </si>
  <si>
    <t>Store_Name</t>
  </si>
  <si>
    <t>The Raymond Shop</t>
  </si>
  <si>
    <t>Chennai</t>
  </si>
  <si>
    <t>Tamil Nadu</t>
  </si>
  <si>
    <t>Store_Type</t>
  </si>
  <si>
    <t>Exclusive Store</t>
  </si>
  <si>
    <t>Exclusive</t>
  </si>
  <si>
    <t>Bengaluru</t>
  </si>
  <si>
    <t>Karnataka</t>
  </si>
  <si>
    <t>Inventory_ID</t>
  </si>
  <si>
    <t>Inventory record</t>
  </si>
  <si>
    <t>INT (FK)</t>
  </si>
  <si>
    <t>Product reference</t>
  </si>
  <si>
    <t>Store reference</t>
  </si>
  <si>
    <t>Quantity</t>
  </si>
  <si>
    <t>Available stock</t>
  </si>
  <si>
    <t>Customer ID</t>
  </si>
  <si>
    <t>Customer Name</t>
  </si>
  <si>
    <t>Phone</t>
  </si>
  <si>
    <t>VARCHAR(15)</t>
  </si>
  <si>
    <t>Mobile Number</t>
  </si>
  <si>
    <t>Email</t>
  </si>
  <si>
    <t>Email Address</t>
  </si>
  <si>
    <t>Customer City</t>
  </si>
  <si>
    <t>Rahul Sharma</t>
  </si>
  <si>
    <t>Priya Patel</t>
  </si>
  <si>
    <t>Ahmedabad</t>
  </si>
  <si>
    <t>Sale_ID</t>
  </si>
  <si>
    <t>Sale transaction</t>
  </si>
  <si>
    <t>Product sold</t>
  </si>
  <si>
    <t>Sale_Date</t>
  </si>
  <si>
    <t>DATE</t>
  </si>
  <si>
    <t>Date of sale</t>
  </si>
  <si>
    <t>Quantity sold</t>
  </si>
  <si>
    <t>Total_Amount</t>
  </si>
  <si>
    <t>Total sale value</t>
  </si>
  <si>
    <t>Data Model – Raymond T-Shirt Manufacturing &amp; Retail</t>
  </si>
  <si>
    <t>Logical Data Model</t>
  </si>
  <si>
    <t xml:space="preserve">               It stores mesurable business data</t>
  </si>
  <si>
    <t>Sales Table</t>
  </si>
  <si>
    <t>Manufacturer Table</t>
  </si>
  <si>
    <t>Product Table</t>
  </si>
  <si>
    <t>Retail Store Table</t>
  </si>
  <si>
    <t>Inventory Table</t>
  </si>
  <si>
    <t>Questions to improve this data model</t>
  </si>
  <si>
    <t>Ganesh</t>
  </si>
  <si>
    <t>Name</t>
  </si>
  <si>
    <t>Sl No</t>
  </si>
  <si>
    <t>Customer Table</t>
  </si>
  <si>
    <t>DIM_INVENTORY</t>
  </si>
  <si>
    <t>Inventory_ID (PK)</t>
  </si>
  <si>
    <t>Inventory_ID (FK)</t>
  </si>
  <si>
    <t>Which retail store performing good last 6 months</t>
  </si>
  <si>
    <t>What prodcut category need more promotions and discounts</t>
  </si>
  <si>
    <t>Sales % during festival time promotions and normal day promo</t>
  </si>
  <si>
    <t>Raymond Textiles  Manufacturer ( Selling T-Shirts Garment)    Retail Distribution across India</t>
  </si>
  <si>
    <t>DIM_PROMOTION</t>
  </si>
  <si>
    <t>Promotion_Key (PK)</t>
  </si>
  <si>
    <t>Promotion_key (FK)</t>
  </si>
  <si>
    <t>Aimum</t>
  </si>
  <si>
    <t>Syed</t>
  </si>
  <si>
    <t>Sruthi</t>
  </si>
  <si>
    <t>Anna</t>
  </si>
  <si>
    <t>Which product sold the most during summer deal?</t>
  </si>
  <si>
    <t>which store is second in menswear sales?</t>
  </si>
  <si>
    <t>David</t>
  </si>
  <si>
    <t>Which quarter of 2025 had the most profit? Rank each quarter from 1-4.</t>
  </si>
  <si>
    <t>Priya</t>
  </si>
  <si>
    <t xml:space="preserve">Products prom particular Man_name </t>
  </si>
  <si>
    <t xml:space="preserve">which store has the most women and which store has the most men
</t>
  </si>
  <si>
    <t>DOB</t>
  </si>
  <si>
    <t>Sreeni</t>
  </si>
  <si>
    <t>Can you get monthly report of sales by product category and store ?</t>
  </si>
  <si>
    <t>Find out the quantity of products sold on july 22 on individual category.</t>
  </si>
  <si>
    <t>Product specification like gender based or sportswear</t>
  </si>
  <si>
    <t>Promotion_Key</t>
  </si>
  <si>
    <t>Promotion_Name</t>
  </si>
  <si>
    <t>Promotion_Type</t>
  </si>
  <si>
    <t>Discount_Percentage</t>
  </si>
  <si>
    <t>Start_Date</t>
  </si>
  <si>
    <t>End_Date</t>
  </si>
  <si>
    <t>Status</t>
  </si>
  <si>
    <t>Summer Deals</t>
  </si>
  <si>
    <t>Seasonal</t>
  </si>
  <si>
    <t>Expired</t>
  </si>
  <si>
    <t>Festival Deals</t>
  </si>
  <si>
    <t>Festival</t>
  </si>
  <si>
    <t>Active</t>
  </si>
  <si>
    <t>Anniversary Deals</t>
  </si>
  <si>
    <t>Anniversary</t>
  </si>
  <si>
    <t>Special Deals</t>
  </si>
  <si>
    <t>Special</t>
  </si>
  <si>
    <t>Planned</t>
  </si>
  <si>
    <t>Column Name</t>
  </si>
  <si>
    <t>Key</t>
  </si>
  <si>
    <t>PK</t>
  </si>
  <si>
    <t>Unique promotion identifier</t>
  </si>
  <si>
    <t>Name of the promotion</t>
  </si>
  <si>
    <t>Seasonal, Festival, Anniversary, Clearance, etc.</t>
  </si>
  <si>
    <t>Discount offered</t>
  </si>
  <si>
    <t>Promotion start date</t>
  </si>
  <si>
    <t>Promotion end date</t>
  </si>
  <si>
    <t>Promotion_Status</t>
  </si>
  <si>
    <t>Active / Expired</t>
  </si>
  <si>
    <t>Channel</t>
  </si>
  <si>
    <t>Online, Retail Store, Both</t>
  </si>
  <si>
    <t>Week</t>
  </si>
  <si>
    <t>Holiday_Flag</t>
  </si>
  <si>
    <t>Store Type</t>
  </si>
  <si>
    <t>Membership_Type</t>
  </si>
  <si>
    <t>Warehouse_Name</t>
  </si>
  <si>
    <t>Stock_Level</t>
  </si>
  <si>
    <t>Reorder_Level</t>
  </si>
  <si>
    <t>Last_Updated</t>
  </si>
  <si>
    <t>No.</t>
  </si>
  <si>
    <t>Business Question</t>
  </si>
  <si>
    <t>Dimension Tables</t>
  </si>
  <si>
    <t>Measures</t>
  </si>
  <si>
    <t>Which retail store performed best in the last 6 months?</t>
  </si>
  <si>
    <t>DIM_STORE, DIM_DATE</t>
  </si>
  <si>
    <t>Sales_Amount, Profit</t>
  </si>
  <si>
    <t>Which product category needs more promotions and discounts?</t>
  </si>
  <si>
    <t>Sales_Amount, Quantity_Sold</t>
  </si>
  <si>
    <t>Sales % during festival promotions vs normal days</t>
  </si>
  <si>
    <t>DIM_PROMOTION, DIM_DATE</t>
  </si>
  <si>
    <t>Sales_Amount</t>
  </si>
  <si>
    <t>Product specification by gender or sportswear</t>
  </si>
  <si>
    <t>FACT_SALES (optional) / DIM_PRODUCT</t>
  </si>
  <si>
    <t>Quantity_Sold or Product Count</t>
  </si>
  <si>
    <t>Find the quantity of products sold on 22 July by category</t>
  </si>
  <si>
    <t>DIM_PRODUCT, DIM_DATE</t>
  </si>
  <si>
    <t>Quantity_Sold</t>
  </si>
  <si>
    <t>Which store is second in menswear sales?</t>
  </si>
  <si>
    <t>DIM_PRODUCT, DIM_STORE</t>
  </si>
  <si>
    <t>Which product sold the most during Summer Deal?</t>
  </si>
  <si>
    <t>DIM_PRODUCT, DIM_PROMOTION</t>
  </si>
  <si>
    <t>Which quarter of 2025 had the most profit? Rank each quarter.</t>
  </si>
  <si>
    <t>Profit</t>
  </si>
  <si>
    <t>Monthly sales report by product category and store</t>
  </si>
  <si>
    <t>DIM_DATE, DIM_PRODUCT, DIM_STORE</t>
  </si>
  <si>
    <t>Products from a particular manufacturer</t>
  </si>
  <si>
    <t>Product Count (or Product List)</t>
  </si>
  <si>
    <t>Which store has the highest women's sales and which has the highest men's sales?</t>
  </si>
  <si>
    <t>Star Schema Diagram</t>
  </si>
  <si>
    <t>1. Which retail store performed best in the last 6 months?</t>
  </si>
  <si>
    <t>SELECT
    s.Store_Name,
    SUM(f.Sales_Amount) AS Total_Sales,
    SUM(f.Profit) AS Total_Profit
FROM FACT_SALES f
JOIN DIM_STORE s
    ON f.Store_Key = s.Store_Key
JOIN DIM_DATE d
    ON f.Date_Key = d.Date_Key
WHERE d.Date &gt;= DATEADD(MONTH, -6, GETDATE())
GROUP BY s.Store_Name
ORDER BY Total_Sales DESC;</t>
  </si>
  <si>
    <t>2. Which product category needs more promotions and discounts?</t>
  </si>
  <si>
    <t>SELECT
    p.Category,
    SUM(f.Sales_Amount) AS Total_Sales,
    SUM(f.Quantity_Sold) AS Quantity_Sold
FROM FACT_SALES f
JOIN DIM_PRODUCT p
ON f.Product_Key = p.Product_Key
GROUP BY p.Category
ORDER BY Total_Sales ASC;</t>
  </si>
  <si>
    <t>SELECT
    pr.Promotion_Name,
    SUM(f.Sales_Amount) AS Sales,
    ROUND(
        SUM(f.Sales_Amount) * 100.0 /
        (SELECT SUM(Sales_Amount) FROM FACT_SALES),
        2
    ) AS Sales_Percentage
FROM FACT_SALES f
JOIN DIM_PROMOTION pr
ON f.Promotion_Key = pr.Promotion_Key
GROUP BY pr.Promotion_Name;</t>
  </si>
  <si>
    <t>3. Sales percentage during Festival Promotions vs Normal Days</t>
  </si>
  <si>
    <t>4. Product specification by Gender or Sportswear</t>
  </si>
  <si>
    <t>SELECT
    Gender,
    Category,
    COUNT(*) AS Total_Products
FROM DIM_PRODUCT
GROUP BY Gender, Category
ORDER BY Gender;</t>
  </si>
  <si>
    <t>5. Quantity of products sold on 22 July by category</t>
  </si>
  <si>
    <t>SELECT
    p.Category,
    SUM(f.Quantity_Sold) AS Quantity
FROM FACT_SALES f
JOIN DIM_PRODUCT p
ON f.Product_Key = p.Product_Key
JOIN DIM_DATE d
ON f.Date_Key = d.Date_Key
WHERE d.Date = '2025-07-22'
GROUP BY p.Category;</t>
  </si>
  <si>
    <t>6. Which store is second in Menswear sales?</t>
  </si>
  <si>
    <t>SELECT Store_Name, Total_Sales
FROM
(
    SELECT
        s.Store_Name,
        SUM(f.Sales_Amount) AS Total_Sales,
        DENSE_RANK() OVER
        (ORDER BY SUM(f.Sales_Amount) DESC) AS Rank_No
    FROM FACT_SALES f
    JOIN DIM_PRODUCT p
    ON f.Product_Key = p.Product_Key
    JOIN DIM_STORE s
    ON f.Store_Key = s.Store_Key
    WHERE p.Gender = 'Men'
    GROUP BY s.Store_Name
) A
WHERE Rank_No = 2;</t>
  </si>
  <si>
    <t>7. Which product sold the most during Summer Deals?</t>
  </si>
  <si>
    <t>SELECT TOP 1
    p.Product_Name,
    SUM(f.Quantity_Sold) AS Total_Qty
FROM FACT_SALES f
JOIN DIM_PRODUCT p
ON f.Product_Key = p.Product_Key
JOIN DIM_PROMOTION pr
ON f.Promotion_Key = pr.Promotion_Key
WHERE pr.Promotion_Name = 'Summer Deals'
GROUP BY p.Product_Name
ORDER BY Total_Qty DESC;</t>
  </si>
  <si>
    <t>8. Which quarter of 2025 had the most profit?</t>
  </si>
  <si>
    <t>SELECT
    d.Quarter,
    SUM(f.Profit) AS Total_Profit,
    DENSE_RANK() OVER
    (ORDER BY SUM(f.Profit) DESC) AS Quarter_Rank
FROM FACT_SALES f
JOIN DIM_DATE d
ON f.Date_Key = d.Date_Key
WHERE d.Year = 2025
GROUP BY d.Quarter
ORDER BY Quarter_Rank;</t>
  </si>
  <si>
    <t>9. Monthly sales report by Product Category and Store</t>
  </si>
  <si>
    <t>SELECT
    d.Year,
    d.Month,
    s.Store_Name,
    p.Category,
    SUM(f.Sales_Amount) AS Total_Sales
FROM FACT_SALES f
JOIN DIM_DATE d
ON f.Date_Key = d.Date_Key
JOIN DIM_PRODUCT p
ON f.Product_Key = p.Product_Key
JOIN DIM_STORE s
ON f.Store_Key = s.Store_Key
GROUP BY
    d.Year,
    d.Month,
    s.Store_Name,
    p.Category
ORDER BY
    d.Year,
    d.Month,
    s.Store_Name;</t>
  </si>
  <si>
    <t>10. Products from a particular Manufacturer</t>
  </si>
  <si>
    <t>SELECT
    m.Manufacturer_Name,
    p.Product_Name,
    p.Category
FROM DIM_PRODUCT p
JOIN DIM_MANUFACTURER m
ON p.Manufacturer_Key = m.Manufacturer_Key
WHERE m.Manufacturer_Name = 'Raymond Lifestyle';</t>
  </si>
  <si>
    <t>11. Which store has the highest Women and Men sales?</t>
  </si>
  <si>
    <t>SELECT
    p.Gender,
    s.Store_Name,
    SUM(f.Sales_Amount) AS Total_Sales
FROM FACT_SALES f
JOIN DIM_PRODUCT p
ON f.Product_Key = p.Product_Key
JOIN DIM_STORE s
ON f.Store_Key = s.Store_Key
GROUP BY
    p.Gender,
    s.Store_Name
ORDER BY
    p.Gender,
    Total_Sales DESC;</t>
  </si>
  <si>
    <t>Top 5 Best-Selling Products</t>
  </si>
  <si>
    <t>12. Top 5 Best-Selling Products</t>
  </si>
  <si>
    <t>SELECT TOP 5
    p.Product_Name,
    SUM(f.Quantity_Sold) AS Quantity_Sold,
    SUM(f.Sales_Amount) AS Sales
FROM FACT_SALES f
JOIN DIM_PRODUCT p
ON f.Product_Key = p.Product_Key
GROUP BY p.Product_Name
ORDER BY Quantity_Sold DESC;</t>
  </si>
  <si>
    <t>Joshua</t>
  </si>
  <si>
    <r>
      <rPr>
        <b/>
        <sz val="12"/>
        <color indexed="10"/>
        <rFont val="Tahoma"/>
        <family val="2"/>
      </rPr>
      <t>DIM_DATE</t>
    </r>
    <r>
      <rPr>
        <sz val="11"/>
        <color indexed="8"/>
        <rFont val="Tahoma"/>
        <family val="2"/>
      </rPr>
      <t xml:space="preserve">
         </t>
    </r>
    <r>
      <rPr>
        <b/>
        <sz val="11"/>
        <color indexed="8"/>
        <rFont val="Tahoma"/>
        <family val="2"/>
      </rPr>
      <t xml:space="preserve"> (Date, Month,Quarter, Year)</t>
    </r>
    <r>
      <rPr>
        <sz val="11"/>
        <color indexed="8"/>
        <rFont val="Tahoma"/>
        <family val="2"/>
      </rPr>
      <t xml:space="preserve">
                          </t>
    </r>
  </si>
  <si>
    <r>
      <rPr>
        <b/>
        <sz val="12"/>
        <color indexed="10"/>
        <rFont val="Tahoma"/>
        <family val="2"/>
      </rPr>
      <t>DIM_PRODUCT</t>
    </r>
    <r>
      <rPr>
        <sz val="11"/>
        <color indexed="8"/>
        <rFont val="Tahoma"/>
        <family val="2"/>
      </rPr>
      <t xml:space="preserve">
</t>
    </r>
    <r>
      <rPr>
        <b/>
        <sz val="11"/>
        <color indexed="8"/>
        <rFont val="Tahoma"/>
        <family val="2"/>
      </rPr>
      <t xml:space="preserve">(Product, Category, Brand, Gender, Size, Sportswear)    </t>
    </r>
    <r>
      <rPr>
        <sz val="11"/>
        <color indexed="8"/>
        <rFont val="Tahoma"/>
        <family val="2"/>
      </rPr>
      <t xml:space="preserve">
           </t>
    </r>
  </si>
  <si>
    <r>
      <t xml:space="preserve">FACT_SALES 
  </t>
    </r>
    <r>
      <rPr>
        <b/>
        <sz val="11"/>
        <color indexed="8"/>
        <rFont val="Tahoma"/>
        <family val="2"/>
      </rPr>
      <t xml:space="preserve">(Sales Amount, Quantity, Profit, Discount)     </t>
    </r>
    <r>
      <rPr>
        <sz val="11"/>
        <color indexed="8"/>
        <rFont val="Tahoma"/>
        <family val="2"/>
      </rPr>
      <t xml:space="preserve">     
                    </t>
    </r>
  </si>
  <si>
    <r>
      <t xml:space="preserve">DIM_STORE
</t>
    </r>
    <r>
      <rPr>
        <b/>
        <sz val="11"/>
        <color indexed="8"/>
        <rFont val="Tahoma"/>
        <family val="2"/>
      </rPr>
      <t>(Store,City,Region)</t>
    </r>
  </si>
  <si>
    <r>
      <rPr>
        <b/>
        <sz val="12"/>
        <color indexed="10"/>
        <rFont val="Tahoma"/>
        <family val="2"/>
      </rPr>
      <t>DIM_CUSTOMER</t>
    </r>
    <r>
      <rPr>
        <sz val="11"/>
        <color indexed="8"/>
        <rFont val="Tahoma"/>
        <family val="2"/>
      </rPr>
      <t xml:space="preserve">
</t>
    </r>
    <r>
      <rPr>
        <b/>
        <sz val="11"/>
        <color indexed="8"/>
        <rFont val="Tahoma"/>
        <family val="2"/>
      </rPr>
      <t>(Customer, Gender,Age Group, City)</t>
    </r>
  </si>
  <si>
    <r>
      <rPr>
        <b/>
        <sz val="12"/>
        <color indexed="10"/>
        <rFont val="Tahoma"/>
        <family val="2"/>
      </rPr>
      <t>DIM_PROMOTION</t>
    </r>
    <r>
      <rPr>
        <sz val="11"/>
        <color indexed="8"/>
        <rFont val="Tahoma"/>
        <family val="2"/>
      </rPr>
      <t xml:space="preserve">
</t>
    </r>
    <r>
      <rPr>
        <b/>
        <sz val="11"/>
        <color indexed="8"/>
        <rFont val="Tahoma"/>
        <family val="2"/>
      </rPr>
      <t>(Summer Deals,Festival Deals,Anniversary Deals,Special Deals)</t>
    </r>
  </si>
  <si>
    <r>
      <rPr>
        <b/>
        <sz val="12"/>
        <color indexed="10"/>
        <rFont val="Tahoma"/>
        <family val="2"/>
      </rPr>
      <t>DIM_MANUFACTURER</t>
    </r>
    <r>
      <rPr>
        <sz val="11"/>
        <color indexed="8"/>
        <rFont val="Tahoma"/>
        <family val="2"/>
      </rPr>
      <t xml:space="preserve">
</t>
    </r>
    <r>
      <rPr>
        <b/>
        <sz val="11"/>
        <color indexed="8"/>
        <rFont val="Tahoma"/>
        <family val="2"/>
      </rPr>
      <t>(Factory,State,Manufacturer)</t>
    </r>
  </si>
  <si>
    <t>It is a database modeling methodology</t>
  </si>
  <si>
    <t>Used in enterprises data warehouse</t>
  </si>
  <si>
    <t>To store historical data from many different operational systems</t>
  </si>
  <si>
    <t>It relies on three core components</t>
  </si>
  <si>
    <t>HUBS</t>
  </si>
  <si>
    <t>LINKS</t>
  </si>
  <si>
    <t>SATELLITES</t>
  </si>
  <si>
    <t>Key Benefits</t>
  </si>
  <si>
    <r>
      <t>Hubs:</t>
    </r>
    <r>
      <rPr>
        <sz val="14"/>
        <color indexed="8"/>
        <rFont val="Aptos Narrow"/>
        <family val="2"/>
      </rPr>
      <t xml:space="preserve"> Store unique business keys (such as customer IDs or product codes) representing core business concepts.</t>
    </r>
  </si>
  <si>
    <r>
      <t>Links:</t>
    </r>
    <r>
      <rPr>
        <sz val="14"/>
        <color indexed="8"/>
        <rFont val="Aptos Narrow"/>
        <family val="2"/>
      </rPr>
      <t xml:space="preserve"> Represent the relationships and associations that connect different hubs together.</t>
    </r>
  </si>
  <si>
    <r>
      <t>Satellites:</t>
    </r>
    <r>
      <rPr>
        <sz val="14"/>
        <color indexed="8"/>
        <rFont val="Aptos Narrow"/>
        <family val="2"/>
      </rPr>
      <t xml:space="preserve"> Hold descriptive attributes, details, and the full change history linked to hubs or links.</t>
    </r>
  </si>
  <si>
    <t>Auditability: Every row includes load dates and source tracking to trace data back to its origin.</t>
  </si>
  <si>
    <t>Scalability: New source systems can be added easily without breaking the existing database structure.</t>
  </si>
  <si>
    <t>Agility: Decoupling business keys from descriptive details reduces the need to rewrite code when requirements shift</t>
  </si>
  <si>
    <r>
      <t>Star Schema</t>
    </r>
    <r>
      <rPr>
        <sz val="11"/>
        <color theme="1"/>
        <rFont val="Aptos Narrow"/>
        <family val="2"/>
        <scheme val="minor"/>
      </rPr>
      <t xml:space="preserve"> for a Sales Data Warehouse</t>
    </r>
    <r>
      <rPr>
        <b/>
        <sz val="11"/>
        <color indexed="8"/>
        <rFont val="Aptos Narrow"/>
        <family val="2"/>
      </rPr>
      <t xml:space="preserve"> convert it into a Data Vault Model.</t>
    </r>
  </si>
  <si>
    <t>Dimensions → Hubs + Satellites</t>
  </si>
  <si>
    <t>Fact tables → Links + Satellites</t>
  </si>
  <si>
    <r>
      <t xml:space="preserve">Business keys become </t>
    </r>
    <r>
      <rPr>
        <b/>
        <sz val="11"/>
        <color indexed="8"/>
        <rFont val="Aptos Narrow"/>
        <family val="2"/>
      </rPr>
      <t>Hub keys</t>
    </r>
  </si>
  <si>
    <r>
      <t xml:space="preserve">Attributes become </t>
    </r>
    <r>
      <rPr>
        <b/>
        <sz val="11"/>
        <color indexed="8"/>
        <rFont val="Aptos Narrow"/>
        <family val="2"/>
      </rPr>
      <t>Satellite tables</t>
    </r>
  </si>
  <si>
    <r>
      <t xml:space="preserve">Relationships become </t>
    </r>
    <r>
      <rPr>
        <b/>
        <sz val="11"/>
        <color indexed="8"/>
        <rFont val="Aptos Narrow"/>
        <family val="2"/>
      </rPr>
      <t>Link tables</t>
    </r>
  </si>
  <si>
    <t>HUB_DATE</t>
  </si>
  <si>
    <t>Date_Key (PK)</t>
  </si>
  <si>
    <t>Load_Date</t>
  </si>
  <si>
    <t>Record_Source</t>
  </si>
  <si>
    <t>HUB_PRODUCT</t>
  </si>
  <si>
    <t>Product_Key (PK)</t>
  </si>
  <si>
    <t>HUB_CUSTOMER</t>
  </si>
  <si>
    <t>HUB_STORE</t>
  </si>
  <si>
    <t>Store_Key (PK)</t>
  </si>
  <si>
    <t>HUB_PROMOTION</t>
  </si>
  <si>
    <t>Promotion_ID</t>
  </si>
  <si>
    <t>HUB_MANUFACTURER</t>
  </si>
  <si>
    <t>2. SATELLITE TABLES (Attributes)</t>
  </si>
  <si>
    <t>Satellites store descriptive information and history.</t>
  </si>
  <si>
    <t>1. HUB Tables (Business Keys)</t>
  </si>
  <si>
    <t>Hubs contain unique business entities</t>
  </si>
  <si>
    <t>SAT_PRODUCT</t>
  </si>
  <si>
    <t>Sportswear</t>
  </si>
  <si>
    <t>Effective_Date</t>
  </si>
  <si>
    <t>SAT_CUSTOMER</t>
  </si>
  <si>
    <t>SAT_STORE</t>
  </si>
  <si>
    <t>Store_Key (FK)</t>
  </si>
  <si>
    <t>SAT_DATE</t>
  </si>
  <si>
    <t>SAT_PROMOTION</t>
  </si>
  <si>
    <t>Promotion_Key (FK)</t>
  </si>
  <si>
    <t>Summer_Deals</t>
  </si>
  <si>
    <t>Festival_Deals</t>
  </si>
  <si>
    <t>Anniversary_Deals</t>
  </si>
  <si>
    <t>Special_Deals</t>
  </si>
  <si>
    <t>SAT_MANUFACTURER</t>
  </si>
  <si>
    <t>Factory</t>
  </si>
  <si>
    <t>3. LINK TABLES (Relationships)</t>
  </si>
  <si>
    <t>Links represent business relationships.</t>
  </si>
  <si>
    <t>LINK_SALES</t>
  </si>
  <si>
    <t>Sales_Link_Key (PK)</t>
  </si>
  <si>
    <t>Date_Key</t>
  </si>
  <si>
    <t>Product_Key</t>
  </si>
  <si>
    <t>Customer_Key</t>
  </si>
  <si>
    <t>Store_Key</t>
  </si>
  <si>
    <t>Manufacturer_Key</t>
  </si>
  <si>
    <t>Connects sales transaction with dimensions.</t>
  </si>
  <si>
    <t>4. FACT SATELLITE (Measures)</t>
  </si>
  <si>
    <t>Fact table measures become a Satellite attached to the Link.</t>
  </si>
  <si>
    <t>SAT_SALES</t>
  </si>
  <si>
    <t>Sales_Link_Key (FK)</t>
  </si>
  <si>
    <t>Mapping Summary</t>
  </si>
  <si>
    <t>Star Schema Object</t>
  </si>
  <si>
    <t>Data Vault Object</t>
  </si>
  <si>
    <t>HUB_PRODUCT + SAT_PRODUCT</t>
  </si>
  <si>
    <t>HUB_CUSTOMER + SAT_CUSTOMER</t>
  </si>
  <si>
    <t>HUB_STORE + SAT_STORE</t>
  </si>
  <si>
    <t>HUB_DATE + SAT_DATE</t>
  </si>
  <si>
    <t>HUB_PROMOTION + SAT_PROMOTION</t>
  </si>
  <si>
    <t>HUB_MANUFACTURER + SAT_MANUFACTURER</t>
  </si>
  <si>
    <t>LINK_SALES + SAT_SALES</t>
  </si>
  <si>
    <t xml:space="preserve">                                                                       HUB_DATE
                                                                                |
                                                                                |
                                                                       SAT_DATE
                                                                                |
                                                                                |
                            HUB_PRODUCT ---- LINK_SALES ---- HUB_STORE
                                          |                                   |
                                          |                                   |
                                SAT_PRODUCT      SAT_SALES
                                                                               |
                                                                               |
                           HUB_CUSTOMER -------|
                                         |
                           SAT_CUSTOMER
                          HUB_PROMOTION
                                        |
                         SAT_PROMOTION
                         HUB_MANUFACTURER
                                         |
                         SAT_MANUFACTURER</t>
  </si>
  <si>
    <t>Data VAULT</t>
  </si>
  <si>
    <r>
      <t xml:space="preserve">                      [ DIM_DATE ]
                    |
                    [DIM_PRODUCT] -----------</t>
    </r>
    <r>
      <rPr>
        <b/>
        <sz val="11"/>
        <color indexed="10"/>
        <rFont val="Aptos Narrow"/>
        <family val="2"/>
      </rPr>
      <t>[ FACT_SALES ] -----</t>
    </r>
    <r>
      <rPr>
        <b/>
        <sz val="11"/>
        <color indexed="8"/>
        <rFont val="Aptos Narrow"/>
        <family val="2"/>
      </rPr>
      <t>---- [ DIM_STORE]
                    |
                    |
[DIM_CUSTOMER] -------------     [DIM_PROMOTION]-------[DIM_MANUFACTURER]</t>
    </r>
  </si>
  <si>
    <t>Hospital (1)
      |
      |----&lt; Department (Many)
      |          |
      |          |----&lt; Employee (Many)
      |
      |----&lt; Patient (Many)
                     |
                     |
                Doctor_ID
                     |
                     |
                Employee</t>
  </si>
  <si>
    <t>Hospital (1)</t>
  </si>
  <si>
    <t>Department (Many)</t>
  </si>
  <si>
    <t>Employee (Many)</t>
  </si>
  <si>
    <t>Patient (Many)</t>
  </si>
  <si>
    <t>Doctor_ID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</si>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</sst>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31" x14ac:knownFonts="1"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</font>
    <font>
      <b/>
      <sz val="11"/>
      <color indexed="10"/>
      <name val="Aptos Narrow"/>
      <family val="2"/>
    </font>
    <font>
      <b/>
      <sz val="11"/>
      <color indexed="8"/>
      <name val="Tahoma"/>
      <family val="2"/>
    </font>
    <font>
      <sz val="11"/>
      <color indexed="8"/>
      <name val="Tahoma"/>
      <family val="2"/>
    </font>
    <font>
      <b/>
      <sz val="12"/>
      <color indexed="10"/>
      <name val="Tahoma"/>
      <family val="2"/>
    </font>
    <font>
      <b/>
      <sz val="11"/>
      <color indexed="8"/>
      <name val="Aptos Narrow"/>
      <family val="2"/>
    </font>
    <font>
      <b/>
      <sz val="11"/>
      <color indexed="10"/>
      <name val="Aptos Narrow"/>
      <family val="2"/>
    </font>
    <font>
      <sz val="14"/>
      <color indexed="8"/>
      <name val="Aptos Narrow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8"/>
      <color theme="1"/>
      <name val="Tahoma"/>
      <family val="2"/>
    </font>
    <font>
      <sz val="10"/>
      <color theme="1"/>
      <name val="Tahoma"/>
      <family val="2"/>
    </font>
    <font>
      <b/>
      <sz val="24"/>
      <color theme="1"/>
      <name val="Tahoma"/>
      <family val="2"/>
    </font>
    <font>
      <b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0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0" fillId="0" borderId="0" xfId="0" applyFont="1"/>
    <xf numFmtId="0" fontId="10" fillId="0" borderId="1" xfId="0" applyFont="1" applyBorder="1"/>
    <xf numFmtId="0" fontId="0" fillId="0" borderId="1" xfId="0" applyBorder="1"/>
    <xf numFmtId="0" fontId="10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0" fillId="3" borderId="0" xfId="0" applyFont="1" applyFill="1"/>
    <xf numFmtId="0" fontId="0" fillId="3" borderId="0" xfId="0" applyFill="1"/>
    <xf numFmtId="0" fontId="10" fillId="3" borderId="0" xfId="0" applyFont="1" applyFill="1" applyBorder="1"/>
    <xf numFmtId="0" fontId="10" fillId="4" borderId="0" xfId="0" applyFont="1" applyFill="1" applyAlignment="1">
      <alignment vertical="center"/>
    </xf>
    <xf numFmtId="0" fontId="10" fillId="4" borderId="0" xfId="0" applyFont="1" applyFill="1"/>
    <xf numFmtId="0" fontId="0" fillId="4" borderId="0" xfId="0" applyFill="1"/>
    <xf numFmtId="0" fontId="10" fillId="3" borderId="1" xfId="0" applyFont="1" applyFill="1" applyBorder="1"/>
    <xf numFmtId="0" fontId="10" fillId="4" borderId="1" xfId="0" applyFont="1" applyFill="1" applyBorder="1"/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5" borderId="0" xfId="0" applyFont="1" applyFill="1"/>
    <xf numFmtId="0" fontId="10" fillId="6" borderId="0" xfId="0" applyFont="1" applyFill="1"/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0" fillId="7" borderId="1" xfId="0" applyFont="1" applyFill="1" applyBorder="1"/>
    <xf numFmtId="0" fontId="0" fillId="0" borderId="1" xfId="0" applyBorder="1" applyAlignment="1">
      <alignment horizontal="left"/>
    </xf>
    <xf numFmtId="0" fontId="10" fillId="8" borderId="1" xfId="0" applyFont="1" applyFill="1" applyBorder="1"/>
    <xf numFmtId="0" fontId="0" fillId="0" borderId="0" xfId="0" applyBorder="1"/>
    <xf numFmtId="0" fontId="10" fillId="8" borderId="0" xfId="0" applyFont="1" applyFill="1" applyBorder="1"/>
    <xf numFmtId="0" fontId="10" fillId="9" borderId="0" xfId="0" applyFont="1" applyFill="1"/>
    <xf numFmtId="0" fontId="0" fillId="9" borderId="0" xfId="0" applyFill="1"/>
    <xf numFmtId="0" fontId="13" fillId="0" borderId="1" xfId="0" applyFont="1" applyBorder="1"/>
    <xf numFmtId="0" fontId="13" fillId="2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0" fillId="10" borderId="0" xfId="0" applyFont="1" applyFill="1"/>
    <xf numFmtId="0" fontId="11" fillId="11" borderId="0" xfId="0" applyFont="1" applyFill="1"/>
    <xf numFmtId="0" fontId="14" fillId="0" borderId="1" xfId="0" applyFont="1" applyBorder="1"/>
    <xf numFmtId="0" fontId="14" fillId="12" borderId="1" xfId="0" applyFont="1" applyFill="1" applyBorder="1"/>
    <xf numFmtId="0" fontId="15" fillId="0" borderId="0" xfId="0" applyFont="1"/>
    <xf numFmtId="0" fontId="0" fillId="0" borderId="0" xfId="0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1" xfId="0" applyFont="1" applyFill="1" applyBorder="1"/>
    <xf numFmtId="0" fontId="10" fillId="0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3" fillId="13" borderId="1" xfId="0" applyFont="1" applyFill="1" applyBorder="1"/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  <xf numFmtId="15" fontId="0" fillId="0" borderId="1" xfId="0" applyNumberFormat="1" applyBorder="1" applyAlignment="1">
      <alignment horizontal="left" vertical="center" wrapText="1"/>
    </xf>
    <xf numFmtId="0" fontId="16" fillId="0" borderId="0" xfId="0" applyFont="1"/>
    <xf numFmtId="0" fontId="0" fillId="0" borderId="2" xfId="0" applyFill="1" applyBorder="1" applyAlignment="1">
      <alignment horizontal="left"/>
    </xf>
    <xf numFmtId="0" fontId="0" fillId="0" borderId="1" xfId="0" applyFill="1" applyBorder="1"/>
    <xf numFmtId="0" fontId="17" fillId="2" borderId="1" xfId="0" applyFont="1" applyFill="1" applyBorder="1" applyAlignment="1">
      <alignment horizontal="center" vertical="center" wrapText="1"/>
    </xf>
    <xf numFmtId="0" fontId="18" fillId="0" borderId="0" xfId="0" applyFont="1"/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0" fillId="2" borderId="1" xfId="0" applyFont="1" applyFill="1" applyBorder="1"/>
    <xf numFmtId="0" fontId="23" fillId="0" borderId="1" xfId="0" applyFont="1" applyBorder="1"/>
    <xf numFmtId="0" fontId="24" fillId="0" borderId="0" xfId="0" applyFont="1"/>
    <xf numFmtId="0" fontId="25" fillId="0" borderId="0" xfId="0" applyFont="1"/>
    <xf numFmtId="0" fontId="0" fillId="0" borderId="0" xfId="0" applyFont="1"/>
    <xf numFmtId="0" fontId="24" fillId="2" borderId="0" xfId="0" applyFont="1" applyFill="1" applyAlignment="1">
      <alignment vertical="center"/>
    </xf>
    <xf numFmtId="0" fontId="25" fillId="2" borderId="0" xfId="0" applyFont="1" applyFill="1"/>
    <xf numFmtId="0" fontId="10" fillId="2" borderId="0" xfId="0" applyFont="1" applyFill="1"/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9" fillId="14" borderId="1" xfId="0" applyFont="1" applyFill="1" applyBorder="1"/>
    <xf numFmtId="0" fontId="10" fillId="15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3" fillId="0" borderId="0" xfId="0" applyFont="1" applyBorder="1"/>
    <xf numFmtId="0" fontId="10" fillId="7" borderId="3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3" borderId="3" xfId="0" applyFont="1" applyFill="1" applyBorder="1" applyAlignment="1">
      <alignment horizontal="left"/>
    </xf>
    <xf numFmtId="0" fontId="10" fillId="3" borderId="5" xfId="0" applyFont="1" applyFill="1" applyBorder="1" applyAlignment="1">
      <alignment horizontal="left"/>
    </xf>
    <xf numFmtId="0" fontId="10" fillId="3" borderId="4" xfId="0" applyFont="1" applyFill="1" applyBorder="1" applyAlignment="1">
      <alignment horizontal="left"/>
    </xf>
    <xf numFmtId="0" fontId="22" fillId="4" borderId="1" xfId="0" applyFont="1" applyFill="1" applyBorder="1" applyAlignment="1">
      <alignment horizontal="left" vertical="center"/>
    </xf>
    <xf numFmtId="0" fontId="10" fillId="0" borderId="3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3" xfId="0" applyFont="1" applyFill="1" applyBorder="1" applyAlignment="1">
      <alignment horizontal="left"/>
    </xf>
    <xf numFmtId="0" fontId="10" fillId="0" borderId="5" xfId="0" applyFont="1" applyFill="1" applyBorder="1" applyAlignment="1">
      <alignment horizontal="left"/>
    </xf>
    <xf numFmtId="0" fontId="10" fillId="0" borderId="4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center" wrapText="1"/>
    </xf>
    <xf numFmtId="0" fontId="18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/>
    </xf>
    <xf numFmtId="0" fontId="26" fillId="0" borderId="3" xfId="0" applyFont="1" applyBorder="1" applyAlignment="1">
      <alignment horizontal="left" vertical="center"/>
    </xf>
    <xf numFmtId="0" fontId="26" fillId="0" borderId="5" xfId="0" applyFont="1" applyBorder="1" applyAlignment="1">
      <alignment horizontal="left" vertical="center"/>
    </xf>
    <xf numFmtId="0" fontId="26" fillId="0" borderId="4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0" fontId="29" fillId="2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10" fillId="2" borderId="6" xfId="0" applyFont="1" applyFill="1" applyBorder="1"/>
    <xf numFmtId="0" fontId="10" fillId="2" borderId="6" xfId="0" applyFont="1" applyFill="1" applyBorder="1" applyAlignment="1">
      <alignment horizontal="center"/>
    </xf>
    <xf numFmtId="6" fontId="0" fillId="0" borderId="0" xfId="0" applyNumberFormat="1"/>
    <xf numFmtId="6" fontId="30" fillId="0" borderId="6" xfId="0" applyNumberFormat="1" applyFont="1" applyBorder="1" applyAlignment="1">
      <alignment vertical="center" wrapText="1"/>
    </xf>
    <xf numFmtId="6" fontId="30" fillId="0" borderId="7" xfId="0" applyNumberFormat="1" applyFont="1" applyBorder="1" applyAlignment="1">
      <alignment vertical="center" wrapText="1"/>
    </xf>
    <xf numFmtId="6" fontId="30" fillId="0" borderId="0" xfId="0" applyNumberFormat="1" applyFont="1" applyFill="1" applyBorder="1" applyAlignment="1">
      <alignment vertical="center" wrapText="1"/>
    </xf>
    <xf numFmtId="6" fontId="30" fillId="0" borderId="8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292100</xdr:colOff>
      <xdr:row>11</xdr:row>
      <xdr:rowOff>28575</xdr:rowOff>
    </xdr:from>
    <xdr:to>
      <xdr:col>14</xdr:col>
      <xdr:colOff>313000</xdr:colOff>
      <xdr:row>13</xdr:row>
      <xdr:rowOff>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1AA308EA-FFAB-4D3E-3369-E3146C631F15}"/>
            </a:ext>
          </a:extLst>
        </xdr:cNvPr>
        <xdr:cNvSpPr/>
      </xdr:nvSpPr>
      <xdr:spPr>
        <a:xfrm>
          <a:off x="15601950" y="2428875"/>
          <a:ext cx="45719" cy="3048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GB"/>
        </a:p>
      </xdr:txBody>
    </xdr:sp>
    <xdr:clientData/>
  </xdr:twoCellAnchor>
  <xdr:twoCellAnchor>
    <xdr:from>
      <xdr:col>14</xdr:col>
      <xdr:colOff>307975</xdr:colOff>
      <xdr:row>14</xdr:row>
      <xdr:rowOff>19050</xdr:rowOff>
    </xdr:from>
    <xdr:to>
      <xdr:col>14</xdr:col>
      <xdr:colOff>336549</xdr:colOff>
      <xdr:row>15</xdr:row>
      <xdr:rowOff>69235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A477E254-D1C3-9606-3A53-92CD7DC0F7CC}"/>
            </a:ext>
          </a:extLst>
        </xdr:cNvPr>
        <xdr:cNvSpPr/>
      </xdr:nvSpPr>
      <xdr:spPr>
        <a:xfrm>
          <a:off x="15640050" y="3152775"/>
          <a:ext cx="45719" cy="3048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GB"/>
        </a:p>
      </xdr:txBody>
    </xdr:sp>
    <xdr:clientData/>
  </xdr:twoCellAnchor>
  <xdr:twoCellAnchor>
    <xdr:from>
      <xdr:col>14</xdr:col>
      <xdr:colOff>327025</xdr:colOff>
      <xdr:row>17</xdr:row>
      <xdr:rowOff>31750</xdr:rowOff>
    </xdr:from>
    <xdr:to>
      <xdr:col>14</xdr:col>
      <xdr:colOff>336169</xdr:colOff>
      <xdr:row>18</xdr:row>
      <xdr:rowOff>88900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393667C4-DB6F-CA68-5492-0371184B8944}"/>
            </a:ext>
          </a:extLst>
        </xdr:cNvPr>
        <xdr:cNvSpPr/>
      </xdr:nvSpPr>
      <xdr:spPr>
        <a:xfrm>
          <a:off x="15668625" y="3943350"/>
          <a:ext cx="45719" cy="3048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GB"/>
        </a:p>
      </xdr:txBody>
    </xdr:sp>
    <xdr:clientData/>
  </xdr:twoCellAnchor>
  <xdr:twoCellAnchor>
    <xdr:from>
      <xdr:col>14</xdr:col>
      <xdr:colOff>336550</xdr:colOff>
      <xdr:row>20</xdr:row>
      <xdr:rowOff>22225</xdr:rowOff>
    </xdr:from>
    <xdr:to>
      <xdr:col>14</xdr:col>
      <xdr:colOff>353967</xdr:colOff>
      <xdr:row>21</xdr:row>
      <xdr:rowOff>69850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E9AF232C-1BAD-3F7A-9B8F-9FF2647CB42F}"/>
            </a:ext>
          </a:extLst>
        </xdr:cNvPr>
        <xdr:cNvSpPr/>
      </xdr:nvSpPr>
      <xdr:spPr>
        <a:xfrm>
          <a:off x="15697200" y="4495800"/>
          <a:ext cx="45719" cy="3048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GB"/>
        </a:p>
      </xdr:txBody>
    </xdr:sp>
    <xdr:clientData/>
  </xdr:twoCellAnchor>
  <xdr:twoCellAnchor>
    <xdr:from>
      <xdr:col>14</xdr:col>
      <xdr:colOff>355600</xdr:colOff>
      <xdr:row>23</xdr:row>
      <xdr:rowOff>28575</xdr:rowOff>
    </xdr:from>
    <xdr:to>
      <xdr:col>14</xdr:col>
      <xdr:colOff>373017</xdr:colOff>
      <xdr:row>24</xdr:row>
      <xdr:rowOff>0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05FCC5DC-B502-1AEB-EAED-786165F60051}"/>
            </a:ext>
          </a:extLst>
        </xdr:cNvPr>
        <xdr:cNvSpPr/>
      </xdr:nvSpPr>
      <xdr:spPr>
        <a:xfrm>
          <a:off x="15735300" y="5076825"/>
          <a:ext cx="45719" cy="3048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GB"/>
        </a:p>
      </xdr:txBody>
    </xdr:sp>
    <xdr:clientData/>
  </xdr:twoCellAnchor>
  <xdr:twoCellAnchor>
    <xdr:from>
      <xdr:col>10</xdr:col>
      <xdr:colOff>165100</xdr:colOff>
      <xdr:row>30</xdr:row>
      <xdr:rowOff>31750</xdr:rowOff>
    </xdr:from>
    <xdr:to>
      <xdr:col>10</xdr:col>
      <xdr:colOff>165100</xdr:colOff>
      <xdr:row>33</xdr:row>
      <xdr:rowOff>19035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20ACA8D3-7751-D4D9-B56C-C8823E9459F2}"/>
            </a:ext>
          </a:extLst>
        </xdr:cNvPr>
        <xdr:cNvCxnSpPr/>
      </xdr:nvCxnSpPr>
      <xdr:spPr>
        <a:xfrm>
          <a:off x="12725400" y="7877175"/>
          <a:ext cx="9525" cy="542925"/>
        </a:xfrm>
        <a:prstGeom prst="straightConnector1">
          <a:avLst/>
        </a:prstGeom>
        <a:ln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127000</xdr:colOff>
      <xdr:row>34</xdr:row>
      <xdr:rowOff>12700</xdr:rowOff>
    </xdr:from>
    <xdr:to>
      <xdr:col>14</xdr:col>
      <xdr:colOff>127000</xdr:colOff>
      <xdr:row>36</xdr:row>
      <xdr:rowOff>9582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2F2B27A-23E3-2F4A-2027-EEDB84D3FE5A}"/>
            </a:ext>
          </a:extLst>
        </xdr:cNvPr>
        <xdr:cNvCxnSpPr/>
      </xdr:nvCxnSpPr>
      <xdr:spPr>
        <a:xfrm>
          <a:off x="15078075" y="86010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165100</xdr:colOff>
      <xdr:row>31</xdr:row>
      <xdr:rowOff>50800</xdr:rowOff>
    </xdr:from>
    <xdr:to>
      <xdr:col>12</xdr:col>
      <xdr:colOff>8528</xdr:colOff>
      <xdr:row>31</xdr:row>
      <xdr:rowOff>50800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045DC51-1970-EA31-20F4-2609DF86769F}"/>
            </a:ext>
          </a:extLst>
        </xdr:cNvPr>
        <xdr:cNvCxnSpPr/>
      </xdr:nvCxnSpPr>
      <xdr:spPr>
        <a:xfrm>
          <a:off x="12734925" y="8115300"/>
          <a:ext cx="8763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200025</xdr:colOff>
      <xdr:row>31</xdr:row>
      <xdr:rowOff>28575</xdr:rowOff>
    </xdr:from>
    <xdr:to>
      <xdr:col>15</xdr:col>
      <xdr:colOff>37648</xdr:colOff>
      <xdr:row>31</xdr:row>
      <xdr:rowOff>45720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94BCE1D0-CD7E-D5D7-1BEB-B868377D00EF}"/>
            </a:ext>
          </a:extLst>
        </xdr:cNvPr>
        <xdr:cNvCxnSpPr/>
      </xdr:nvCxnSpPr>
      <xdr:spPr>
        <a:xfrm flipV="1">
          <a:off x="14563725" y="8077200"/>
          <a:ext cx="2009775" cy="285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</xdr:colOff>
      <xdr:row>31</xdr:row>
      <xdr:rowOff>28575</xdr:rowOff>
    </xdr:from>
    <xdr:to>
      <xdr:col>15</xdr:col>
      <xdr:colOff>28575</xdr:colOff>
      <xdr:row>39</xdr:row>
      <xdr:rowOff>50781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271D1280-03E1-1B01-01D0-BFD6A720DE3D}"/>
            </a:ext>
          </a:extLst>
        </xdr:cNvPr>
        <xdr:cNvCxnSpPr/>
      </xdr:nvCxnSpPr>
      <xdr:spPr>
        <a:xfrm flipV="1">
          <a:off x="16554450" y="8077200"/>
          <a:ext cx="0" cy="1562100"/>
        </a:xfrm>
        <a:prstGeom prst="line">
          <a:avLst/>
        </a:prstGeom>
        <a:ln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</xdr:colOff>
      <xdr:row>39</xdr:row>
      <xdr:rowOff>41275</xdr:rowOff>
    </xdr:from>
    <xdr:to>
      <xdr:col>15</xdr:col>
      <xdr:colOff>19050</xdr:colOff>
      <xdr:row>39</xdr:row>
      <xdr:rowOff>50800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31B24473-1EDB-6666-3AE5-A3D19C4B9883}"/>
            </a:ext>
          </a:extLst>
        </xdr:cNvPr>
        <xdr:cNvCxnSpPr/>
      </xdr:nvCxnSpPr>
      <xdr:spPr>
        <a:xfrm flipV="1">
          <a:off x="14182725" y="9610725"/>
          <a:ext cx="2352675" cy="285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165100</xdr:colOff>
      <xdr:row>36</xdr:row>
      <xdr:rowOff>47625</xdr:rowOff>
    </xdr:from>
    <xdr:to>
      <xdr:col>12</xdr:col>
      <xdr:colOff>8528</xdr:colOff>
      <xdr:row>36</xdr:row>
      <xdr:rowOff>47625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C1EEA129-BB4B-7A1A-962F-746E38A51BBE}"/>
            </a:ext>
          </a:extLst>
        </xdr:cNvPr>
        <xdr:cNvCxnSpPr/>
      </xdr:nvCxnSpPr>
      <xdr:spPr>
        <a:xfrm>
          <a:off x="12734925" y="9067800"/>
          <a:ext cx="8763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165100</xdr:colOff>
      <xdr:row>33</xdr:row>
      <xdr:rowOff>69850</xdr:rowOff>
    </xdr:from>
    <xdr:to>
      <xdr:col>10</xdr:col>
      <xdr:colOff>165100</xdr:colOff>
      <xdr:row>36</xdr:row>
      <xdr:rowOff>60325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C916BF99-3015-8356-1269-8437E678804B}"/>
            </a:ext>
          </a:extLst>
        </xdr:cNvPr>
        <xdr:cNvCxnSpPr/>
      </xdr:nvCxnSpPr>
      <xdr:spPr>
        <a:xfrm>
          <a:off x="12734925" y="8543925"/>
          <a:ext cx="9525" cy="542925"/>
        </a:xfrm>
        <a:prstGeom prst="line">
          <a:avLst/>
        </a:prstGeom>
        <a:ln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123825</xdr:colOff>
      <xdr:row>37</xdr:row>
      <xdr:rowOff>19050</xdr:rowOff>
    </xdr:from>
    <xdr:to>
      <xdr:col>12</xdr:col>
      <xdr:colOff>123825</xdr:colOff>
      <xdr:row>39</xdr:row>
      <xdr:rowOff>12841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1B6E0863-C652-793E-AFBA-ED030CEE95CC}"/>
            </a:ext>
          </a:extLst>
        </xdr:cNvPr>
        <xdr:cNvCxnSpPr/>
      </xdr:nvCxnSpPr>
      <xdr:spPr>
        <a:xfrm>
          <a:off x="13877925" y="9182100"/>
          <a:ext cx="0" cy="3714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</xdr:colOff>
      <xdr:row>33</xdr:row>
      <xdr:rowOff>47625</xdr:rowOff>
    </xdr:from>
    <xdr:to>
      <xdr:col>14</xdr:col>
      <xdr:colOff>9632</xdr:colOff>
      <xdr:row>33</xdr:row>
      <xdr:rowOff>47625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1159F6D3-B069-428E-3B04-795AEEC69272}"/>
            </a:ext>
          </a:extLst>
        </xdr:cNvPr>
        <xdr:cNvCxnSpPr/>
      </xdr:nvCxnSpPr>
      <xdr:spPr>
        <a:xfrm flipV="1">
          <a:off x="13115925" y="8477250"/>
          <a:ext cx="1704975" cy="9525"/>
        </a:xfrm>
        <a:prstGeom prst="line">
          <a:avLst/>
        </a:prstGeom>
        <a:ln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352425</xdr:colOff>
      <xdr:row>33</xdr:row>
      <xdr:rowOff>50800</xdr:rowOff>
    </xdr:from>
    <xdr:to>
      <xdr:col>14</xdr:col>
      <xdr:colOff>579688</xdr:colOff>
      <xdr:row>33</xdr:row>
      <xdr:rowOff>60325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9CCBF484-1691-099E-B865-648B7FB81956}"/>
            </a:ext>
          </a:extLst>
        </xdr:cNvPr>
        <xdr:cNvCxnSpPr/>
      </xdr:nvCxnSpPr>
      <xdr:spPr>
        <a:xfrm>
          <a:off x="15592425" y="8486775"/>
          <a:ext cx="514350" cy="9525"/>
        </a:xfrm>
        <a:prstGeom prst="line">
          <a:avLst/>
        </a:prstGeom>
        <a:ln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190500</xdr:colOff>
      <xdr:row>28</xdr:row>
      <xdr:rowOff>0</xdr:rowOff>
    </xdr:from>
    <xdr:to>
      <xdr:col>16</xdr:col>
      <xdr:colOff>2370</xdr:colOff>
      <xdr:row>42</xdr:row>
      <xdr:rowOff>12697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4DDD12D4-1369-2A49-D75D-7D30AFF95B70}"/>
            </a:ext>
          </a:extLst>
        </xdr:cNvPr>
        <xdr:cNvSpPr txBox="1"/>
      </xdr:nvSpPr>
      <xdr:spPr>
        <a:xfrm>
          <a:off x="11525250" y="7296150"/>
          <a:ext cx="5572125" cy="2828925"/>
        </a:xfrm>
        <a:prstGeom prst="rect">
          <a:avLst/>
        </a:prstGeom>
        <a:noFill/>
        <a:ln w="73025" cmpd="sng">
          <a:solidFill>
            <a:schemeClr val="accent2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/>
        </a:p>
      </xdr:txBody>
    </xdr:sp>
    <xdr:clientData/>
  </xdr:twoCellAnchor>
  <xdr:twoCellAnchor>
    <xdr:from>
      <xdr:col>10</xdr:col>
      <xdr:colOff>82550</xdr:colOff>
      <xdr:row>35</xdr:row>
      <xdr:rowOff>12700</xdr:rowOff>
    </xdr:from>
    <xdr:to>
      <xdr:col>13</xdr:col>
      <xdr:colOff>66712</xdr:colOff>
      <xdr:row>38</xdr:row>
      <xdr:rowOff>22225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096A7881-9DE5-8DC6-CBCB-55431F0BB604}"/>
            </a:ext>
          </a:extLst>
        </xdr:cNvPr>
        <xdr:cNvSpPr/>
      </xdr:nvSpPr>
      <xdr:spPr>
        <a:xfrm>
          <a:off x="12220575" y="8791575"/>
          <a:ext cx="2057400" cy="590550"/>
        </a:xfrm>
        <a:custGeom>
          <a:avLst/>
          <a:gdLst>
            <a:gd name="csX0" fmla="*/ 0 w 2057400"/>
            <a:gd name="csY0" fmla="*/ 98427 h 590550"/>
            <a:gd name="csX1" fmla="*/ 98427 w 2057400"/>
            <a:gd name="csY1" fmla="*/ 0 h 590550"/>
            <a:gd name="csX2" fmla="*/ 600774 w 2057400"/>
            <a:gd name="csY2" fmla="*/ 0 h 590550"/>
            <a:gd name="csX3" fmla="*/ 1047305 w 2057400"/>
            <a:gd name="csY3" fmla="*/ 0 h 590550"/>
            <a:gd name="csX4" fmla="*/ 1475231 w 2057400"/>
            <a:gd name="csY4" fmla="*/ 0 h 590550"/>
            <a:gd name="csX5" fmla="*/ 1958973 w 2057400"/>
            <a:gd name="csY5" fmla="*/ 0 h 590550"/>
            <a:gd name="csX6" fmla="*/ 2057400 w 2057400"/>
            <a:gd name="csY6" fmla="*/ 98427 h 590550"/>
            <a:gd name="csX7" fmla="*/ 2057400 w 2057400"/>
            <a:gd name="csY7" fmla="*/ 492123 h 590550"/>
            <a:gd name="csX8" fmla="*/ 1958973 w 2057400"/>
            <a:gd name="csY8" fmla="*/ 590550 h 590550"/>
            <a:gd name="csX9" fmla="*/ 1531047 w 2057400"/>
            <a:gd name="csY9" fmla="*/ 590550 h 590550"/>
            <a:gd name="csX10" fmla="*/ 1065911 w 2057400"/>
            <a:gd name="csY10" fmla="*/ 590550 h 590550"/>
            <a:gd name="csX11" fmla="*/ 619380 w 2057400"/>
            <a:gd name="csY11" fmla="*/ 590550 h 590550"/>
            <a:gd name="csX12" fmla="*/ 98427 w 2057400"/>
            <a:gd name="csY12" fmla="*/ 590550 h 590550"/>
            <a:gd name="csX13" fmla="*/ 0 w 2057400"/>
            <a:gd name="csY13" fmla="*/ 492123 h 590550"/>
            <a:gd name="csX14" fmla="*/ 0 w 2057400"/>
            <a:gd name="csY14" fmla="*/ 98427 h 59055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</a:cxnLst>
          <a:rect l="l" t="t" r="r" b="b"/>
          <a:pathLst>
            <a:path w="2057400" h="590550" extrusionOk="0">
              <a:moveTo>
                <a:pt x="0" y="98427"/>
              </a:moveTo>
              <a:cubicBezTo>
                <a:pt x="-8652" y="38730"/>
                <a:pt x="38214" y="2197"/>
                <a:pt x="98427" y="0"/>
              </a:cubicBezTo>
              <a:cubicBezTo>
                <a:pt x="280595" y="-31259"/>
                <a:pt x="368206" y="23805"/>
                <a:pt x="600774" y="0"/>
              </a:cubicBezTo>
              <a:cubicBezTo>
                <a:pt x="833342" y="-23805"/>
                <a:pt x="828578" y="2711"/>
                <a:pt x="1047305" y="0"/>
              </a:cubicBezTo>
              <a:cubicBezTo>
                <a:pt x="1266032" y="-2711"/>
                <a:pt x="1295641" y="21874"/>
                <a:pt x="1475231" y="0"/>
              </a:cubicBezTo>
              <a:cubicBezTo>
                <a:pt x="1654821" y="-21874"/>
                <a:pt x="1832035" y="16052"/>
                <a:pt x="1958973" y="0"/>
              </a:cubicBezTo>
              <a:cubicBezTo>
                <a:pt x="2014004" y="-1380"/>
                <a:pt x="2049772" y="42899"/>
                <a:pt x="2057400" y="98427"/>
              </a:cubicBezTo>
              <a:cubicBezTo>
                <a:pt x="2104057" y="191857"/>
                <a:pt x="2015181" y="368919"/>
                <a:pt x="2057400" y="492123"/>
              </a:cubicBezTo>
              <a:cubicBezTo>
                <a:pt x="2054891" y="550633"/>
                <a:pt x="2006804" y="582977"/>
                <a:pt x="1958973" y="590550"/>
              </a:cubicBezTo>
              <a:cubicBezTo>
                <a:pt x="1820364" y="600365"/>
                <a:pt x="1632065" y="581002"/>
                <a:pt x="1531047" y="590550"/>
              </a:cubicBezTo>
              <a:cubicBezTo>
                <a:pt x="1430029" y="600098"/>
                <a:pt x="1226855" y="536237"/>
                <a:pt x="1065911" y="590550"/>
              </a:cubicBezTo>
              <a:cubicBezTo>
                <a:pt x="904967" y="644863"/>
                <a:pt x="791088" y="558545"/>
                <a:pt x="619380" y="590550"/>
              </a:cubicBezTo>
              <a:cubicBezTo>
                <a:pt x="447672" y="622555"/>
                <a:pt x="248553" y="547662"/>
                <a:pt x="98427" y="590550"/>
              </a:cubicBezTo>
              <a:cubicBezTo>
                <a:pt x="47699" y="586041"/>
                <a:pt x="-11701" y="541960"/>
                <a:pt x="0" y="492123"/>
              </a:cubicBezTo>
              <a:cubicBezTo>
                <a:pt x="-20573" y="391486"/>
                <a:pt x="15553" y="281431"/>
                <a:pt x="0" y="98427"/>
              </a:cubicBezTo>
              <a:close/>
            </a:path>
          </a:pathLst>
        </a:custGeom>
        <a:noFill/>
        <a:ln w="92075">
          <a:solidFill>
            <a:srgbClr val="FF0000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GB"/>
        </a:p>
      </xdr:txBody>
    </xdr:sp>
    <xdr:clientData/>
  </xdr:twoCellAnchor>
  <xdr:twoCellAnchor>
    <xdr:from>
      <xdr:col>10</xdr:col>
      <xdr:colOff>146050</xdr:colOff>
      <xdr:row>50</xdr:row>
      <xdr:rowOff>12700</xdr:rowOff>
    </xdr:from>
    <xdr:to>
      <xdr:col>14</xdr:col>
      <xdr:colOff>184142</xdr:colOff>
      <xdr:row>52</xdr:row>
      <xdr:rowOff>124188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3D8DA81-FC0C-621D-A5DB-2E7836ADBE8B}"/>
            </a:ext>
          </a:extLst>
        </xdr:cNvPr>
        <xdr:cNvCxnSpPr/>
      </xdr:nvCxnSpPr>
      <xdr:spPr>
        <a:xfrm>
          <a:off x="12896850" y="10544175"/>
          <a:ext cx="2771775" cy="542925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244475</xdr:colOff>
      <xdr:row>50</xdr:row>
      <xdr:rowOff>19050</xdr:rowOff>
    </xdr:from>
    <xdr:to>
      <xdr:col>17</xdr:col>
      <xdr:colOff>76718</xdr:colOff>
      <xdr:row>53</xdr:row>
      <xdr:rowOff>3327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34277136-59D7-D8F2-8BC1-03928996E0FF}"/>
            </a:ext>
          </a:extLst>
        </xdr:cNvPr>
        <xdr:cNvCxnSpPr/>
      </xdr:nvCxnSpPr>
      <xdr:spPr>
        <a:xfrm flipV="1">
          <a:off x="15811500" y="10553700"/>
          <a:ext cx="2590800" cy="542925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209550</xdr:colOff>
      <xdr:row>48</xdr:row>
      <xdr:rowOff>19050</xdr:rowOff>
    </xdr:from>
    <xdr:to>
      <xdr:col>14</xdr:col>
      <xdr:colOff>219075</xdr:colOff>
      <xdr:row>52</xdr:row>
      <xdr:rowOff>69377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9F39DD77-A1BE-D72B-F3A7-80485348310B}"/>
            </a:ext>
          </a:extLst>
        </xdr:cNvPr>
        <xdr:cNvCxnSpPr/>
      </xdr:nvCxnSpPr>
      <xdr:spPr>
        <a:xfrm>
          <a:off x="15725775" y="10172700"/>
          <a:ext cx="38100" cy="895350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49</xdr:row>
      <xdr:rowOff>31750</xdr:rowOff>
    </xdr:from>
    <xdr:to>
      <xdr:col>16</xdr:col>
      <xdr:colOff>9525</xdr:colOff>
      <xdr:row>49</xdr:row>
      <xdr:rowOff>50800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A93C6655-D073-BB7B-A8FF-056FB1B11BCA}"/>
            </a:ext>
          </a:extLst>
        </xdr:cNvPr>
        <xdr:cNvCxnSpPr/>
      </xdr:nvCxnSpPr>
      <xdr:spPr>
        <a:xfrm>
          <a:off x="13439775" y="10410825"/>
          <a:ext cx="4191000" cy="9525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225425</xdr:colOff>
      <xdr:row>54</xdr:row>
      <xdr:rowOff>28575</xdr:rowOff>
    </xdr:from>
    <xdr:to>
      <xdr:col>14</xdr:col>
      <xdr:colOff>230188</xdr:colOff>
      <xdr:row>58</xdr:row>
      <xdr:rowOff>79155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D47ECA9C-AC5E-E039-C17E-FA8F725E632A}"/>
            </a:ext>
          </a:extLst>
        </xdr:cNvPr>
        <xdr:cNvCxnSpPr/>
      </xdr:nvCxnSpPr>
      <xdr:spPr>
        <a:xfrm>
          <a:off x="15773400" y="11334750"/>
          <a:ext cx="9525" cy="885825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238125</xdr:colOff>
      <xdr:row>59</xdr:row>
      <xdr:rowOff>69850</xdr:rowOff>
    </xdr:from>
    <xdr:to>
      <xdr:col>14</xdr:col>
      <xdr:colOff>247650</xdr:colOff>
      <xdr:row>63</xdr:row>
      <xdr:rowOff>69850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DD1C06FB-0F25-E138-040A-40B8EB3EE2B2}"/>
            </a:ext>
          </a:extLst>
        </xdr:cNvPr>
        <xdr:cNvCxnSpPr/>
      </xdr:nvCxnSpPr>
      <xdr:spPr>
        <a:xfrm>
          <a:off x="15801975" y="12411075"/>
          <a:ext cx="9525" cy="762000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47</xdr:row>
      <xdr:rowOff>60325</xdr:rowOff>
    </xdr:from>
    <xdr:to>
      <xdr:col>3</xdr:col>
      <xdr:colOff>316325</xdr:colOff>
      <xdr:row>57</xdr:row>
      <xdr:rowOff>69804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CD9A5AF1-A1A5-1A46-5AB5-9EBDBC791717}"/>
            </a:ext>
          </a:extLst>
        </xdr:cNvPr>
        <xdr:cNvCxnSpPr/>
      </xdr:nvCxnSpPr>
      <xdr:spPr>
        <a:xfrm>
          <a:off x="1447800" y="10086975"/>
          <a:ext cx="2819400" cy="1933575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434975</xdr:colOff>
      <xdr:row>46</xdr:row>
      <xdr:rowOff>69850</xdr:rowOff>
    </xdr:from>
    <xdr:to>
      <xdr:col>5</xdr:col>
      <xdr:colOff>3255</xdr:colOff>
      <xdr:row>57</xdr:row>
      <xdr:rowOff>69850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C58343D3-C46B-808E-ADB1-F4556363C5C7}"/>
            </a:ext>
          </a:extLst>
        </xdr:cNvPr>
        <xdr:cNvCxnSpPr/>
      </xdr:nvCxnSpPr>
      <xdr:spPr>
        <a:xfrm flipV="1">
          <a:off x="4562475" y="9896475"/>
          <a:ext cx="4924425" cy="2114550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361950</xdr:colOff>
      <xdr:row>53</xdr:row>
      <xdr:rowOff>0</xdr:rowOff>
    </xdr:from>
    <xdr:to>
      <xdr:col>3</xdr:col>
      <xdr:colOff>361950</xdr:colOff>
      <xdr:row>58</xdr:row>
      <xdr:rowOff>28575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C9CA5F77-BF0A-28DA-ACCF-212519E27115}"/>
            </a:ext>
          </a:extLst>
        </xdr:cNvPr>
        <xdr:cNvCxnSpPr/>
      </xdr:nvCxnSpPr>
      <xdr:spPr>
        <a:xfrm>
          <a:off x="4381500" y="11087100"/>
          <a:ext cx="0" cy="1009650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361950</xdr:colOff>
      <xdr:row>69</xdr:row>
      <xdr:rowOff>9525</xdr:rowOff>
    </xdr:from>
    <xdr:to>
      <xdr:col>3</xdr:col>
      <xdr:colOff>371475</xdr:colOff>
      <xdr:row>71</xdr:row>
      <xdr:rowOff>69413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BE5ECC2-571E-6371-A67E-BA1834C72CF5}"/>
            </a:ext>
          </a:extLst>
        </xdr:cNvPr>
        <xdr:cNvCxnSpPr/>
      </xdr:nvCxnSpPr>
      <xdr:spPr>
        <a:xfrm>
          <a:off x="4381500" y="14154150"/>
          <a:ext cx="19050" cy="523875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79</xdr:row>
      <xdr:rowOff>31750</xdr:rowOff>
    </xdr:from>
    <xdr:to>
      <xdr:col>3</xdr:col>
      <xdr:colOff>381000</xdr:colOff>
      <xdr:row>81</xdr:row>
      <xdr:rowOff>51017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19C3C795-FE70-D5EF-4FFE-A6E3F2D200DA}"/>
            </a:ext>
          </a:extLst>
        </xdr:cNvPr>
        <xdr:cNvCxnSpPr/>
      </xdr:nvCxnSpPr>
      <xdr:spPr>
        <a:xfrm flipH="1">
          <a:off x="4410075" y="16125825"/>
          <a:ext cx="19050" cy="409575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82550</xdr:colOff>
      <xdr:row>46</xdr:row>
      <xdr:rowOff>0</xdr:rowOff>
    </xdr:from>
    <xdr:to>
      <xdr:col>18</xdr:col>
      <xdr:colOff>164964</xdr:colOff>
      <xdr:row>66</xdr:row>
      <xdr:rowOff>88837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45BAE64D-CA20-622E-6468-6B7932F709A1}"/>
            </a:ext>
          </a:extLst>
        </xdr:cNvPr>
        <xdr:cNvSpPr txBox="1"/>
      </xdr:nvSpPr>
      <xdr:spPr>
        <a:xfrm>
          <a:off x="11982450" y="9753600"/>
          <a:ext cx="6743700" cy="3990975"/>
        </a:xfrm>
        <a:prstGeom prst="rect">
          <a:avLst/>
        </a:prstGeom>
        <a:noFill/>
        <a:ln w="73025" cmpd="sng">
          <a:solidFill>
            <a:schemeClr val="accent2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/>
        </a:p>
      </xdr:txBody>
    </xdr:sp>
    <xdr:clientData/>
  </xdr:twoCellAnchor>
  <xdr:twoCellAnchor>
    <xdr:from>
      <xdr:col>3</xdr:col>
      <xdr:colOff>788988</xdr:colOff>
      <xdr:row>65</xdr:row>
      <xdr:rowOff>61912</xdr:rowOff>
    </xdr:from>
    <xdr:to>
      <xdr:col>4</xdr:col>
      <xdr:colOff>129079</xdr:colOff>
      <xdr:row>68</xdr:row>
      <xdr:rowOff>65364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id="{A9796526-6F51-6E28-B619-5F4766C29F4A}"/>
            </a:ext>
          </a:extLst>
        </xdr:cNvPr>
        <xdr:cNvSpPr/>
      </xdr:nvSpPr>
      <xdr:spPr>
        <a:xfrm>
          <a:off x="5707063" y="13096875"/>
          <a:ext cx="412750" cy="579438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GB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3</xdr:row>
      <xdr:rowOff>50800</xdr:rowOff>
    </xdr:from>
    <xdr:to>
      <xdr:col>6</xdr:col>
      <xdr:colOff>307826</xdr:colOff>
      <xdr:row>13</xdr:row>
      <xdr:rowOff>79345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2957A40-C79D-CC0F-4962-9782F7517586}"/>
            </a:ext>
          </a:extLst>
        </xdr:cNvPr>
        <xdr:cNvCxnSpPr/>
      </xdr:nvCxnSpPr>
      <xdr:spPr>
        <a:xfrm>
          <a:off x="4248150" y="844550"/>
          <a:ext cx="2625690" cy="1936750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425450</xdr:colOff>
      <xdr:row>2</xdr:row>
      <xdr:rowOff>69850</xdr:rowOff>
    </xdr:from>
    <xdr:to>
      <xdr:col>8</xdr:col>
      <xdr:colOff>2358</xdr:colOff>
      <xdr:row>13</xdr:row>
      <xdr:rowOff>69873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E25866E-842D-86DF-F1CD-3DEB0479E95B}"/>
            </a:ext>
          </a:extLst>
        </xdr:cNvPr>
        <xdr:cNvCxnSpPr/>
      </xdr:nvCxnSpPr>
      <xdr:spPr>
        <a:xfrm flipV="1">
          <a:off x="4876800" y="9813925"/>
          <a:ext cx="5159283" cy="2082800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350960</xdr:colOff>
      <xdr:row>10</xdr:row>
      <xdr:rowOff>10258</xdr:rowOff>
    </xdr:from>
    <xdr:to>
      <xdr:col>6</xdr:col>
      <xdr:colOff>358287</xdr:colOff>
      <xdr:row>14</xdr:row>
      <xdr:rowOff>7251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5CF4A02-8EC1-A811-FA02-9BC54F8A39F0}"/>
            </a:ext>
          </a:extLst>
        </xdr:cNvPr>
        <xdr:cNvCxnSpPr/>
      </xdr:nvCxnSpPr>
      <xdr:spPr>
        <a:xfrm>
          <a:off x="5619750" y="2014904"/>
          <a:ext cx="7327" cy="740019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504825</xdr:colOff>
      <xdr:row>27</xdr:row>
      <xdr:rowOff>9525</xdr:rowOff>
    </xdr:from>
    <xdr:to>
      <xdr:col>6</xdr:col>
      <xdr:colOff>361633</xdr:colOff>
      <xdr:row>29</xdr:row>
      <xdr:rowOff>59951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DCC3701-9955-02B6-47F8-AD2C933849E6}"/>
            </a:ext>
          </a:extLst>
        </xdr:cNvPr>
        <xdr:cNvCxnSpPr/>
      </xdr:nvCxnSpPr>
      <xdr:spPr>
        <a:xfrm flipH="1">
          <a:off x="4248150" y="5010150"/>
          <a:ext cx="2746375" cy="476250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617183</xdr:colOff>
      <xdr:row>23</xdr:row>
      <xdr:rowOff>61912</xdr:rowOff>
    </xdr:from>
    <xdr:to>
      <xdr:col>7</xdr:col>
      <xdr:colOff>121849</xdr:colOff>
      <xdr:row>26</xdr:row>
      <xdr:rowOff>65385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id="{E2F1D8CE-8BBB-88F7-7840-D42A35D18383}"/>
            </a:ext>
          </a:extLst>
        </xdr:cNvPr>
        <xdr:cNvSpPr/>
      </xdr:nvSpPr>
      <xdr:spPr>
        <a:xfrm>
          <a:off x="6385100" y="4627562"/>
          <a:ext cx="301801" cy="631473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GB"/>
        </a:p>
      </xdr:txBody>
    </xdr:sp>
    <xdr:clientData/>
  </xdr:twoCellAnchor>
  <xdr:twoCellAnchor>
    <xdr:from>
      <xdr:col>6</xdr:col>
      <xdr:colOff>323850</xdr:colOff>
      <xdr:row>27</xdr:row>
      <xdr:rowOff>0</xdr:rowOff>
    </xdr:from>
    <xdr:to>
      <xdr:col>7</xdr:col>
      <xdr:colOff>1282020</xdr:colOff>
      <xdr:row>30</xdr:row>
      <xdr:rowOff>60057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916AB59-1E8E-8953-DD71-F0841C11A894}"/>
            </a:ext>
          </a:extLst>
        </xdr:cNvPr>
        <xdr:cNvCxnSpPr/>
      </xdr:nvCxnSpPr>
      <xdr:spPr>
        <a:xfrm flipH="1" flipV="1">
          <a:off x="6908800" y="4991100"/>
          <a:ext cx="3775075" cy="698500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344664</xdr:colOff>
      <xdr:row>27</xdr:row>
      <xdr:rowOff>44098</xdr:rowOff>
    </xdr:from>
    <xdr:to>
      <xdr:col>6</xdr:col>
      <xdr:colOff>344664</xdr:colOff>
      <xdr:row>32</xdr:row>
      <xdr:rowOff>49227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316FA725-451A-5CBE-BD45-4A17AFB675A1}"/>
            </a:ext>
          </a:extLst>
        </xdr:cNvPr>
        <xdr:cNvCxnSpPr/>
      </xdr:nvCxnSpPr>
      <xdr:spPr>
        <a:xfrm>
          <a:off x="5722056" y="5136445"/>
          <a:ext cx="0" cy="974372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90311</xdr:colOff>
      <xdr:row>14</xdr:row>
      <xdr:rowOff>68087</xdr:rowOff>
    </xdr:from>
    <xdr:to>
      <xdr:col>7</xdr:col>
      <xdr:colOff>1810757</xdr:colOff>
      <xdr:row>17</xdr:row>
      <xdr:rowOff>65624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AB464EC1-75EC-BDDA-353A-4F7098EE0C44}"/>
            </a:ext>
          </a:extLst>
        </xdr:cNvPr>
        <xdr:cNvCxnSpPr/>
      </xdr:nvCxnSpPr>
      <xdr:spPr>
        <a:xfrm>
          <a:off x="6513689" y="2871965"/>
          <a:ext cx="2585422" cy="597259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31</xdr:row>
      <xdr:rowOff>28575</xdr:rowOff>
    </xdr:from>
    <xdr:to>
      <xdr:col>5</xdr:col>
      <xdr:colOff>9531</xdr:colOff>
      <xdr:row>38</xdr:row>
      <xdr:rowOff>38100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8006443-84E4-22B5-AC8F-31EBC077C875}"/>
            </a:ext>
          </a:extLst>
        </xdr:cNvPr>
        <xdr:cNvCxnSpPr/>
      </xdr:nvCxnSpPr>
      <xdr:spPr>
        <a:xfrm flipV="1">
          <a:off x="9267825" y="6286500"/>
          <a:ext cx="2609850" cy="1343025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1066800</xdr:colOff>
      <xdr:row>31</xdr:row>
      <xdr:rowOff>57150</xdr:rowOff>
    </xdr:from>
    <xdr:to>
      <xdr:col>6</xdr:col>
      <xdr:colOff>952629</xdr:colOff>
      <xdr:row>38</xdr:row>
      <xdr:rowOff>47658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9BE246B-DFD2-0164-DBA7-1116D844BF16}"/>
            </a:ext>
          </a:extLst>
        </xdr:cNvPr>
        <xdr:cNvCxnSpPr/>
      </xdr:nvCxnSpPr>
      <xdr:spPr>
        <a:xfrm>
          <a:off x="14954250" y="5848350"/>
          <a:ext cx="2162175" cy="1228725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31</xdr:row>
      <xdr:rowOff>28575</xdr:rowOff>
    </xdr:from>
    <xdr:to>
      <xdr:col>7</xdr:col>
      <xdr:colOff>9539</xdr:colOff>
      <xdr:row>31</xdr:row>
      <xdr:rowOff>66675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D699DB6-D63C-8C37-B72C-1B9B0CD88F98}"/>
            </a:ext>
          </a:extLst>
        </xdr:cNvPr>
        <xdr:cNvCxnSpPr/>
      </xdr:nvCxnSpPr>
      <xdr:spPr>
        <a:xfrm>
          <a:off x="14963775" y="5791200"/>
          <a:ext cx="2190750" cy="66675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31</xdr:row>
      <xdr:rowOff>47625</xdr:rowOff>
    </xdr:from>
    <xdr:to>
      <xdr:col>5</xdr:col>
      <xdr:colOff>9518</xdr:colOff>
      <xdr:row>31</xdr:row>
      <xdr:rowOff>57150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7C814FC-2DA7-ECF2-C477-FA2A81EC20F8}"/>
            </a:ext>
          </a:extLst>
        </xdr:cNvPr>
        <xdr:cNvCxnSpPr/>
      </xdr:nvCxnSpPr>
      <xdr:spPr>
        <a:xfrm flipV="1">
          <a:off x="9305925" y="6315075"/>
          <a:ext cx="2562225" cy="19050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523875</xdr:colOff>
      <xdr:row>27</xdr:row>
      <xdr:rowOff>0</xdr:rowOff>
    </xdr:from>
    <xdr:to>
      <xdr:col>5</xdr:col>
      <xdr:colOff>523875</xdr:colOff>
      <xdr:row>30</xdr:row>
      <xdr:rowOff>9579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D9EB7051-AE1D-0BBE-908F-C4F5CD95A495}"/>
            </a:ext>
          </a:extLst>
        </xdr:cNvPr>
        <xdr:cNvCxnSpPr/>
      </xdr:nvCxnSpPr>
      <xdr:spPr>
        <a:xfrm>
          <a:off x="13725525" y="4991100"/>
          <a:ext cx="9525" cy="561975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523875</xdr:colOff>
      <xdr:row>33</xdr:row>
      <xdr:rowOff>28575</xdr:rowOff>
    </xdr:from>
    <xdr:to>
      <xdr:col>5</xdr:col>
      <xdr:colOff>533400</xdr:colOff>
      <xdr:row>37</xdr:row>
      <xdr:rowOff>18993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914E8A1E-F7A8-6B16-A900-4556C861D976}"/>
            </a:ext>
          </a:extLst>
        </xdr:cNvPr>
        <xdr:cNvCxnSpPr/>
      </xdr:nvCxnSpPr>
      <xdr:spPr>
        <a:xfrm>
          <a:off x="13744575" y="6134100"/>
          <a:ext cx="9525" cy="704850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18</xdr:row>
      <xdr:rowOff>82550</xdr:rowOff>
    </xdr:from>
    <xdr:to>
      <xdr:col>4</xdr:col>
      <xdr:colOff>654500</xdr:colOff>
      <xdr:row>18</xdr:row>
      <xdr:rowOff>82550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7D541C8-FDC1-6184-5986-5B7FB5795396}"/>
            </a:ext>
          </a:extLst>
        </xdr:cNvPr>
        <xdr:cNvCxnSpPr/>
      </xdr:nvCxnSpPr>
      <xdr:spPr>
        <a:xfrm flipV="1">
          <a:off x="2066925" y="3549650"/>
          <a:ext cx="1577975" cy="9525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</xdr:colOff>
      <xdr:row>18</xdr:row>
      <xdr:rowOff>82550</xdr:rowOff>
    </xdr:from>
    <xdr:to>
      <xdr:col>7</xdr:col>
      <xdr:colOff>12700</xdr:colOff>
      <xdr:row>18</xdr:row>
      <xdr:rowOff>82550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D1B917B-0C10-5B9E-140F-5FC60065CA67}"/>
            </a:ext>
          </a:extLst>
        </xdr:cNvPr>
        <xdr:cNvCxnSpPr/>
      </xdr:nvCxnSpPr>
      <xdr:spPr>
        <a:xfrm flipV="1">
          <a:off x="5829300" y="3740150"/>
          <a:ext cx="1270000" cy="9525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336550</xdr:colOff>
      <xdr:row>7</xdr:row>
      <xdr:rowOff>22225</xdr:rowOff>
    </xdr:from>
    <xdr:to>
      <xdr:col>5</xdr:col>
      <xdr:colOff>336550</xdr:colOff>
      <xdr:row>8</xdr:row>
      <xdr:rowOff>112032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3741B20-B412-5CF4-2E56-D1B3194D2C2B}"/>
            </a:ext>
          </a:extLst>
        </xdr:cNvPr>
        <xdr:cNvCxnSpPr/>
      </xdr:nvCxnSpPr>
      <xdr:spPr>
        <a:xfrm>
          <a:off x="4149725" y="1365250"/>
          <a:ext cx="3175" cy="327025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463550</xdr:colOff>
      <xdr:row>16</xdr:row>
      <xdr:rowOff>3175</xdr:rowOff>
    </xdr:from>
    <xdr:to>
      <xdr:col>5</xdr:col>
      <xdr:colOff>463550</xdr:colOff>
      <xdr:row>18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275DF5E-147F-C93B-2D27-690BEBE130F1}"/>
            </a:ext>
          </a:extLst>
        </xdr:cNvPr>
        <xdr:cNvCxnSpPr/>
      </xdr:nvCxnSpPr>
      <xdr:spPr>
        <a:xfrm>
          <a:off x="5105400" y="3051175"/>
          <a:ext cx="0" cy="377825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336550</xdr:colOff>
      <xdr:row>28</xdr:row>
      <xdr:rowOff>15875</xdr:rowOff>
    </xdr:from>
    <xdr:to>
      <xdr:col>5</xdr:col>
      <xdr:colOff>336550</xdr:colOff>
      <xdr:row>30</xdr:row>
      <xdr:rowOff>12700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ECFB049D-2E4C-E943-81FF-C965F8715DBA}"/>
            </a:ext>
          </a:extLst>
        </xdr:cNvPr>
        <xdr:cNvCxnSpPr/>
      </xdr:nvCxnSpPr>
      <xdr:spPr>
        <a:xfrm>
          <a:off x="4159250" y="5359400"/>
          <a:ext cx="0" cy="377825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</xdr:colOff>
      <xdr:row>18</xdr:row>
      <xdr:rowOff>85725</xdr:rowOff>
    </xdr:from>
    <xdr:to>
      <xdr:col>4</xdr:col>
      <xdr:colOff>1181100</xdr:colOff>
      <xdr:row>18</xdr:row>
      <xdr:rowOff>88900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356A73E1-78CC-A4CB-9F13-28FE5259574D}"/>
            </a:ext>
          </a:extLst>
        </xdr:cNvPr>
        <xdr:cNvCxnSpPr/>
      </xdr:nvCxnSpPr>
      <xdr:spPr>
        <a:xfrm flipV="1">
          <a:off x="2108200" y="3514725"/>
          <a:ext cx="2482850" cy="3175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428625</xdr:colOff>
      <xdr:row>22</xdr:row>
      <xdr:rowOff>111125</xdr:rowOff>
    </xdr:from>
    <xdr:to>
      <xdr:col>1</xdr:col>
      <xdr:colOff>438150</xdr:colOff>
      <xdr:row>26</xdr:row>
      <xdr:rowOff>28816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E1AAAE53-6968-819C-F17E-7FA3FFC7230D}"/>
            </a:ext>
          </a:extLst>
        </xdr:cNvPr>
        <xdr:cNvCxnSpPr/>
      </xdr:nvCxnSpPr>
      <xdr:spPr>
        <a:xfrm flipH="1">
          <a:off x="1247775" y="4359275"/>
          <a:ext cx="19050" cy="631825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812804</xdr:colOff>
      <xdr:row>40</xdr:row>
      <xdr:rowOff>2</xdr:rowOff>
    </xdr:from>
    <xdr:to>
      <xdr:col>4</xdr:col>
      <xdr:colOff>212726</xdr:colOff>
      <xdr:row>43</xdr:row>
      <xdr:rowOff>1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7819885F-BF54-1823-099E-AB67CF661316}"/>
            </a:ext>
          </a:extLst>
        </xdr:cNvPr>
        <xdr:cNvCxnSpPr/>
      </xdr:nvCxnSpPr>
      <xdr:spPr>
        <a:xfrm rot="16200000" flipH="1">
          <a:off x="3232153" y="7886703"/>
          <a:ext cx="571499" cy="419098"/>
        </a:xfrm>
        <a:prstGeom prst="bentConnector3">
          <a:avLst>
            <a:gd name="adj1" fmla="val 50000"/>
          </a:avLst>
        </a:prstGeom>
        <a:ln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18</xdr:row>
      <xdr:rowOff>82550</xdr:rowOff>
    </xdr:from>
    <xdr:to>
      <xdr:col>9</xdr:col>
      <xdr:colOff>3175</xdr:colOff>
      <xdr:row>18</xdr:row>
      <xdr:rowOff>88900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5082F9A3-58FC-86FB-97DD-0AE395ACD033}"/>
            </a:ext>
          </a:extLst>
        </xdr:cNvPr>
        <xdr:cNvCxnSpPr/>
      </xdr:nvCxnSpPr>
      <xdr:spPr>
        <a:xfrm flipV="1">
          <a:off x="7788275" y="3749675"/>
          <a:ext cx="1238250" cy="6350"/>
        </a:xfrm>
        <a:prstGeom prst="line">
          <a:avLst/>
        </a:prstGeom>
        <a:ln w="3175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841375</xdr:colOff>
      <xdr:row>40</xdr:row>
      <xdr:rowOff>63500</xdr:rowOff>
    </xdr:from>
    <xdr:to>
      <xdr:col>8</xdr:col>
      <xdr:colOff>4311</xdr:colOff>
      <xdr:row>43</xdr:row>
      <xdr:rowOff>82550</xdr:rowOff>
    </xdr:to>
    <xdr:cxnSp macro="">
      <xdr:nvCxnSpPr>
        <xdr:cNvPr id="77" name="Connector: Elbow 76">
          <a:extLst>
            <a:ext uri="{FF2B5EF4-FFF2-40B4-BE49-F238E27FC236}">
              <a16:creationId xmlns:a16="http://schemas.microsoft.com/office/drawing/2014/main" id="{00E47EEB-2FF6-CCEA-B49D-065C4D1E36BE}"/>
            </a:ext>
          </a:extLst>
        </xdr:cNvPr>
        <xdr:cNvCxnSpPr/>
      </xdr:nvCxnSpPr>
      <xdr:spPr>
        <a:xfrm>
          <a:off x="6467475" y="8664575"/>
          <a:ext cx="1304925" cy="622300"/>
        </a:xfrm>
        <a:prstGeom prst="bentConnector3">
          <a:avLst>
            <a:gd name="adj1" fmla="val 50000"/>
          </a:avLst>
        </a:prstGeom>
        <a:ln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3175</xdr:colOff>
      <xdr:row>40</xdr:row>
      <xdr:rowOff>63500</xdr:rowOff>
    </xdr:from>
    <xdr:to>
      <xdr:col>12</xdr:col>
      <xdr:colOff>3175</xdr:colOff>
      <xdr:row>43</xdr:row>
      <xdr:rowOff>73025</xdr:rowOff>
    </xdr:to>
    <xdr:cxnSp macro="">
      <xdr:nvCxnSpPr>
        <xdr:cNvPr id="79" name="Connector: Elbow 78">
          <a:extLst>
            <a:ext uri="{FF2B5EF4-FFF2-40B4-BE49-F238E27FC236}">
              <a16:creationId xmlns:a16="http://schemas.microsoft.com/office/drawing/2014/main" id="{70A98B53-7480-913F-9217-3243907AFC69}"/>
            </a:ext>
          </a:extLst>
        </xdr:cNvPr>
        <xdr:cNvCxnSpPr/>
      </xdr:nvCxnSpPr>
      <xdr:spPr>
        <a:xfrm>
          <a:off x="11769725" y="7902575"/>
          <a:ext cx="609600" cy="603250"/>
        </a:xfrm>
        <a:prstGeom prst="bentConnector3">
          <a:avLst>
            <a:gd name="adj1" fmla="val 50000"/>
          </a:avLst>
        </a:prstGeom>
        <a:ln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466727</xdr:colOff>
      <xdr:row>18</xdr:row>
      <xdr:rowOff>88902</xdr:rowOff>
    </xdr:from>
    <xdr:to>
      <xdr:col>4</xdr:col>
      <xdr:colOff>771526</xdr:colOff>
      <xdr:row>39</xdr:row>
      <xdr:rowOff>114314</xdr:rowOff>
    </xdr:to>
    <xdr:cxnSp macro="">
      <xdr:nvCxnSpPr>
        <xdr:cNvPr id="90" name="Connector: Elbow 89">
          <a:extLst>
            <a:ext uri="{FF2B5EF4-FFF2-40B4-BE49-F238E27FC236}">
              <a16:creationId xmlns:a16="http://schemas.microsoft.com/office/drawing/2014/main" id="{BA361C5D-CBAA-3C81-A92D-A22FF067FC1D}"/>
            </a:ext>
          </a:extLst>
        </xdr:cNvPr>
        <xdr:cNvCxnSpPr/>
      </xdr:nvCxnSpPr>
      <xdr:spPr>
        <a:xfrm rot="5400000">
          <a:off x="1658940" y="4878389"/>
          <a:ext cx="4044947" cy="1781174"/>
        </a:xfrm>
        <a:prstGeom prst="bentConnector3">
          <a:avLst>
            <a:gd name="adj1" fmla="val 50000"/>
          </a:avLst>
        </a:prstGeom>
        <a:ln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466727</xdr:colOff>
      <xdr:row>18</xdr:row>
      <xdr:rowOff>88902</xdr:rowOff>
    </xdr:from>
    <xdr:to>
      <xdr:col>4</xdr:col>
      <xdr:colOff>764886</xdr:colOff>
      <xdr:row>39</xdr:row>
      <xdr:rowOff>111154</xdr:rowOff>
    </xdr:to>
    <xdr:cxnSp macro="">
      <xdr:nvCxnSpPr>
        <xdr:cNvPr id="97" name="Connector: Elbow 96">
          <a:extLst>
            <a:ext uri="{FF2B5EF4-FFF2-40B4-BE49-F238E27FC236}">
              <a16:creationId xmlns:a16="http://schemas.microsoft.com/office/drawing/2014/main" id="{D2146A80-7071-B1EA-8FC9-70205C5CF725}"/>
            </a:ext>
          </a:extLst>
        </xdr:cNvPr>
        <xdr:cNvCxnSpPr/>
      </xdr:nvCxnSpPr>
      <xdr:spPr>
        <a:xfrm rot="5400000">
          <a:off x="1657353" y="4879976"/>
          <a:ext cx="4041772" cy="1774824"/>
        </a:xfrm>
        <a:prstGeom prst="bentConnector3">
          <a:avLst>
            <a:gd name="adj1" fmla="val 50000"/>
          </a:avLst>
        </a:prstGeom>
        <a:ln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104775</xdr:colOff>
      <xdr:row>18</xdr:row>
      <xdr:rowOff>104777</xdr:rowOff>
    </xdr:from>
    <xdr:to>
      <xdr:col>6</xdr:col>
      <xdr:colOff>369358</xdr:colOff>
      <xdr:row>39</xdr:row>
      <xdr:rowOff>111133</xdr:rowOff>
    </xdr:to>
    <xdr:cxnSp macro="">
      <xdr:nvCxnSpPr>
        <xdr:cNvPr id="98" name="Connector: Elbow 97">
          <a:extLst>
            <a:ext uri="{FF2B5EF4-FFF2-40B4-BE49-F238E27FC236}">
              <a16:creationId xmlns:a16="http://schemas.microsoft.com/office/drawing/2014/main" id="{1D6E1E3D-9CC9-303D-D781-1868A66AF873}"/>
            </a:ext>
          </a:extLst>
        </xdr:cNvPr>
        <xdr:cNvCxnSpPr/>
      </xdr:nvCxnSpPr>
      <xdr:spPr>
        <a:xfrm rot="16200000" flipH="1">
          <a:off x="4254501" y="5581651"/>
          <a:ext cx="4016373" cy="396875"/>
        </a:xfrm>
        <a:prstGeom prst="bentConnector3">
          <a:avLst>
            <a:gd name="adj1" fmla="val 50000"/>
          </a:avLst>
        </a:prstGeom>
        <a:ln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117475</xdr:colOff>
      <xdr:row>24</xdr:row>
      <xdr:rowOff>34925</xdr:rowOff>
    </xdr:from>
    <xdr:to>
      <xdr:col>9</xdr:col>
      <xdr:colOff>1257300</xdr:colOff>
      <xdr:row>40</xdr:row>
      <xdr:rowOff>85725</xdr:rowOff>
    </xdr:to>
    <xdr:cxnSp macro="">
      <xdr:nvCxnSpPr>
        <xdr:cNvPr id="101" name="Connector: Elbow 100">
          <a:extLst>
            <a:ext uri="{FF2B5EF4-FFF2-40B4-BE49-F238E27FC236}">
              <a16:creationId xmlns:a16="http://schemas.microsoft.com/office/drawing/2014/main" id="{B3CB597C-BE6E-03FD-0D47-D613AFED6BC7}"/>
            </a:ext>
          </a:extLst>
        </xdr:cNvPr>
        <xdr:cNvCxnSpPr/>
      </xdr:nvCxnSpPr>
      <xdr:spPr>
        <a:xfrm>
          <a:off x="6022975" y="4606925"/>
          <a:ext cx="4959350" cy="3098800"/>
        </a:xfrm>
        <a:prstGeom prst="bentConnector3">
          <a:avLst>
            <a:gd name="adj1" fmla="val 50000"/>
          </a:avLst>
        </a:prstGeom>
        <a:ln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D46A-8AA0-45FF-B620-713D54972B2C}">
  <dimension ref="A1:T177"/>
  <sheetViews>
    <sheetView showGridLines="0" topLeftCell="C45" zoomScale="80" zoomScaleNormal="80" workbookViewId="0">
      <selection sqref="A1:G1"/>
    </sheetView>
  </sheetViews>
  <sheetFormatPr defaultRowHeight="15" x14ac:dyDescent="0.25"/>
  <cols>
    <col min="1" max="1" width="1.42578125" customWidth="1"/>
    <col min="2" max="2" width="21.7109375" customWidth="1"/>
    <col min="3" max="3" width="31.85546875" customWidth="1"/>
    <col min="4" max="4" width="28.28515625" customWidth="1"/>
    <col min="5" max="5" width="60.5703125" customWidth="1"/>
    <col min="6" max="6" width="21" customWidth="1"/>
    <col min="7" max="7" width="0.85546875" customWidth="1"/>
    <col min="8" max="8" width="1.28515625" style="28" customWidth="1"/>
    <col min="9" max="9" width="10" customWidth="1"/>
    <col min="10" max="10" width="4.28515625" customWidth="1"/>
    <col min="11" max="11" width="12.85546875" customWidth="1"/>
    <col min="15" max="15" width="26.28515625" customWidth="1"/>
    <col min="19" max="19" width="28.28515625" customWidth="1"/>
    <col min="20" max="20" width="36.28515625" customWidth="1"/>
  </cols>
  <sheetData>
    <row r="1" spans="2:20" ht="36.950000000000003" customHeight="1" x14ac:dyDescent="0.25">
      <c r="B1" s="9" t="s">
        <v>0</v>
      </c>
      <c r="C1" s="9"/>
      <c r="D1" s="9"/>
      <c r="E1" s="9"/>
      <c r="H1" s="27"/>
      <c r="I1" s="1"/>
      <c r="J1" s="1"/>
    </row>
    <row r="3" spans="2:20" x14ac:dyDescent="0.25">
      <c r="B3" s="75" t="s">
        <v>4</v>
      </c>
      <c r="C3" s="76"/>
    </row>
    <row r="4" spans="2:20" x14ac:dyDescent="0.25">
      <c r="B4" s="2" t="s">
        <v>1</v>
      </c>
      <c r="C4" s="2" t="s">
        <v>5</v>
      </c>
    </row>
    <row r="5" spans="2:20" x14ac:dyDescent="0.25">
      <c r="B5" s="2" t="s">
        <v>2</v>
      </c>
      <c r="C5" s="2" t="s">
        <v>6</v>
      </c>
    </row>
    <row r="6" spans="2:20" x14ac:dyDescent="0.25">
      <c r="B6" s="2" t="s">
        <v>3</v>
      </c>
      <c r="C6" s="2" t="s">
        <v>7</v>
      </c>
    </row>
    <row r="8" spans="2:20" x14ac:dyDescent="0.25">
      <c r="O8" s="17" t="s">
        <v>47</v>
      </c>
      <c r="S8" s="10" t="s">
        <v>54</v>
      </c>
    </row>
    <row r="10" spans="2:20" x14ac:dyDescent="0.25">
      <c r="C10" s="8" t="s">
        <v>8</v>
      </c>
      <c r="D10" s="7"/>
      <c r="S10" s="4" t="s">
        <v>55</v>
      </c>
      <c r="T10" s="4" t="s">
        <v>56</v>
      </c>
    </row>
    <row r="11" spans="2:20" x14ac:dyDescent="0.25">
      <c r="O11" s="2" t="s">
        <v>48</v>
      </c>
      <c r="S11" s="16" t="s">
        <v>57</v>
      </c>
      <c r="T11" s="16" t="s">
        <v>58</v>
      </c>
    </row>
    <row r="12" spans="2:20" x14ac:dyDescent="0.25">
      <c r="C12" s="4" t="s">
        <v>9</v>
      </c>
      <c r="D12" s="4" t="s">
        <v>10</v>
      </c>
      <c r="E12" s="4" t="s">
        <v>11</v>
      </c>
      <c r="O12" s="1"/>
      <c r="S12" s="16" t="s">
        <v>59</v>
      </c>
      <c r="T12" s="16" t="s">
        <v>60</v>
      </c>
    </row>
    <row r="13" spans="2:20" x14ac:dyDescent="0.25">
      <c r="C13" s="5" t="s">
        <v>12</v>
      </c>
      <c r="D13" s="5" t="s">
        <v>13</v>
      </c>
      <c r="E13" s="5" t="s">
        <v>14</v>
      </c>
      <c r="O13" s="1"/>
      <c r="S13" s="16" t="s">
        <v>61</v>
      </c>
      <c r="T13" s="16" t="s">
        <v>62</v>
      </c>
    </row>
    <row r="14" spans="2:20" ht="30" x14ac:dyDescent="0.25">
      <c r="C14" s="5" t="s">
        <v>15</v>
      </c>
      <c r="D14" s="5" t="s">
        <v>16</v>
      </c>
      <c r="E14" s="5" t="s">
        <v>17</v>
      </c>
      <c r="O14" s="14" t="s">
        <v>49</v>
      </c>
      <c r="S14" s="16" t="s">
        <v>29</v>
      </c>
      <c r="T14" s="16" t="s">
        <v>63</v>
      </c>
    </row>
    <row r="15" spans="2:20" x14ac:dyDescent="0.25">
      <c r="C15" s="5" t="s">
        <v>18</v>
      </c>
      <c r="D15" s="5" t="s">
        <v>19</v>
      </c>
      <c r="E15" s="5" t="s">
        <v>20</v>
      </c>
      <c r="O15" s="1"/>
      <c r="S15" s="16" t="s">
        <v>64</v>
      </c>
      <c r="T15" s="16" t="s">
        <v>67</v>
      </c>
    </row>
    <row r="16" spans="2:20" ht="30" x14ac:dyDescent="0.25">
      <c r="C16" s="5" t="s">
        <v>21</v>
      </c>
      <c r="D16" s="5" t="s">
        <v>19</v>
      </c>
      <c r="E16" s="5" t="s">
        <v>22</v>
      </c>
      <c r="O16" s="1"/>
      <c r="S16" s="16" t="s">
        <v>65</v>
      </c>
      <c r="T16" s="16" t="s">
        <v>66</v>
      </c>
    </row>
    <row r="17" spans="3:20" ht="30" x14ac:dyDescent="0.25">
      <c r="O17" s="14" t="s">
        <v>50</v>
      </c>
    </row>
    <row r="18" spans="3:20" x14ac:dyDescent="0.25">
      <c r="C18" s="6" t="s">
        <v>23</v>
      </c>
      <c r="D18" s="7"/>
      <c r="E18" s="7"/>
      <c r="F18" s="7"/>
      <c r="G18" s="7"/>
      <c r="O18" s="1"/>
      <c r="S18" s="77" t="s">
        <v>68</v>
      </c>
      <c r="T18" s="77"/>
    </row>
    <row r="19" spans="3:20" x14ac:dyDescent="0.25">
      <c r="O19" s="1"/>
    </row>
    <row r="20" spans="3:20" x14ac:dyDescent="0.25">
      <c r="O20" s="2" t="s">
        <v>51</v>
      </c>
    </row>
    <row r="21" spans="3:20" x14ac:dyDescent="0.25">
      <c r="O21" s="1"/>
    </row>
    <row r="22" spans="3:20" x14ac:dyDescent="0.25">
      <c r="C22" s="10" t="s">
        <v>24</v>
      </c>
      <c r="O22" s="1"/>
    </row>
    <row r="23" spans="3:20" ht="45" x14ac:dyDescent="0.25">
      <c r="O23" s="14" t="s">
        <v>53</v>
      </c>
    </row>
    <row r="24" spans="3:20" x14ac:dyDescent="0.25">
      <c r="D24" s="4" t="s">
        <v>25</v>
      </c>
      <c r="E24" s="4" t="s">
        <v>26</v>
      </c>
      <c r="O24" s="1"/>
    </row>
    <row r="25" spans="3:20" x14ac:dyDescent="0.25">
      <c r="D25" s="5" t="s">
        <v>27</v>
      </c>
      <c r="E25" s="5" t="s">
        <v>28</v>
      </c>
      <c r="O25" s="2" t="s">
        <v>52</v>
      </c>
    </row>
    <row r="26" spans="3:20" x14ac:dyDescent="0.25">
      <c r="D26" s="5" t="s">
        <v>29</v>
      </c>
      <c r="E26" s="5" t="s">
        <v>30</v>
      </c>
    </row>
    <row r="27" spans="3:20" x14ac:dyDescent="0.25">
      <c r="D27" s="5" t="s">
        <v>31</v>
      </c>
      <c r="E27" s="5" t="s">
        <v>32</v>
      </c>
    </row>
    <row r="28" spans="3:20" x14ac:dyDescent="0.25">
      <c r="D28" s="5" t="s">
        <v>33</v>
      </c>
      <c r="E28" s="5" t="s">
        <v>34</v>
      </c>
      <c r="S28" s="17" t="s">
        <v>222</v>
      </c>
      <c r="T28" s="17"/>
    </row>
    <row r="30" spans="3:20" x14ac:dyDescent="0.25">
      <c r="D30" s="10" t="s">
        <v>35</v>
      </c>
      <c r="E30" s="10"/>
      <c r="F30" s="10"/>
      <c r="G30" s="10"/>
      <c r="K30" s="18" t="s">
        <v>75</v>
      </c>
      <c r="L30" s="1"/>
      <c r="M30" s="1"/>
      <c r="N30" s="1"/>
      <c r="O30" s="1"/>
      <c r="S30" s="2" t="s">
        <v>69</v>
      </c>
      <c r="T30" s="2" t="s">
        <v>132</v>
      </c>
    </row>
    <row r="31" spans="3:20" x14ac:dyDescent="0.25">
      <c r="K31" s="1"/>
      <c r="L31" s="1"/>
      <c r="M31" s="1"/>
      <c r="N31" s="1"/>
      <c r="O31" s="1"/>
      <c r="S31" s="2" t="s">
        <v>70</v>
      </c>
      <c r="T31" s="2" t="s">
        <v>132</v>
      </c>
    </row>
    <row r="32" spans="3:20" x14ac:dyDescent="0.25">
      <c r="K32" s="1"/>
      <c r="L32" s="1"/>
      <c r="M32" s="18" t="s">
        <v>76</v>
      </c>
      <c r="N32" s="18"/>
      <c r="O32" s="1"/>
      <c r="S32" s="2" t="s">
        <v>71</v>
      </c>
      <c r="T32" s="2" t="s">
        <v>132</v>
      </c>
    </row>
    <row r="33" spans="1:20" x14ac:dyDescent="0.25">
      <c r="K33" s="1"/>
      <c r="L33" s="1"/>
      <c r="M33" s="1"/>
      <c r="N33" s="1"/>
      <c r="O33" s="1"/>
      <c r="S33" s="2" t="s">
        <v>72</v>
      </c>
      <c r="T33" s="2" t="s">
        <v>132</v>
      </c>
    </row>
    <row r="34" spans="1:20" x14ac:dyDescent="0.25">
      <c r="C34" s="12" t="s">
        <v>36</v>
      </c>
      <c r="E34" s="13" t="s">
        <v>41</v>
      </c>
      <c r="K34" s="18" t="s">
        <v>77</v>
      </c>
      <c r="L34" s="1"/>
      <c r="M34" s="1"/>
      <c r="O34" s="18" t="s">
        <v>78</v>
      </c>
      <c r="S34" s="2" t="s">
        <v>73</v>
      </c>
      <c r="T34" s="2" t="s">
        <v>132</v>
      </c>
    </row>
    <row r="35" spans="1:20" x14ac:dyDescent="0.25">
      <c r="C35" s="2" t="s">
        <v>37</v>
      </c>
      <c r="E35" s="3" t="s">
        <v>42</v>
      </c>
      <c r="K35" s="1"/>
      <c r="L35" s="1"/>
      <c r="M35" s="1"/>
      <c r="N35" s="1"/>
      <c r="O35" s="1"/>
      <c r="S35" s="2" t="s">
        <v>74</v>
      </c>
      <c r="T35" s="2" t="s">
        <v>133</v>
      </c>
    </row>
    <row r="36" spans="1:20" x14ac:dyDescent="0.25">
      <c r="C36" s="2" t="s">
        <v>38</v>
      </c>
      <c r="E36" s="3" t="s">
        <v>43</v>
      </c>
      <c r="K36" s="1"/>
      <c r="L36" s="1"/>
    </row>
    <row r="37" spans="1:20" x14ac:dyDescent="0.25">
      <c r="C37" s="2" t="s">
        <v>39</v>
      </c>
      <c r="E37" s="3" t="s">
        <v>44</v>
      </c>
      <c r="K37" s="1"/>
      <c r="L37" s="1"/>
      <c r="M37" s="18" t="s">
        <v>79</v>
      </c>
      <c r="N37" s="1"/>
      <c r="O37" s="18" t="s">
        <v>80</v>
      </c>
    </row>
    <row r="38" spans="1:20" x14ac:dyDescent="0.25">
      <c r="C38" s="2" t="s">
        <v>40</v>
      </c>
      <c r="E38" s="3" t="s">
        <v>45</v>
      </c>
      <c r="K38" s="1"/>
      <c r="L38" s="1"/>
      <c r="M38" s="1"/>
      <c r="N38" s="1"/>
      <c r="O38" s="1"/>
    </row>
    <row r="39" spans="1:20" x14ac:dyDescent="0.25">
      <c r="E39" s="3" t="s">
        <v>46</v>
      </c>
      <c r="N39" s="1"/>
      <c r="O39" s="1"/>
    </row>
    <row r="40" spans="1:20" x14ac:dyDescent="0.25">
      <c r="C40" s="10"/>
      <c r="D40" s="11"/>
      <c r="E40" s="11"/>
      <c r="M40" s="18" t="s">
        <v>81</v>
      </c>
    </row>
    <row r="41" spans="1:20" x14ac:dyDescent="0.25">
      <c r="C41" s="1"/>
    </row>
    <row r="43" spans="1:20" x14ac:dyDescent="0.25">
      <c r="A43" s="34"/>
      <c r="B43" s="34"/>
      <c r="C43" s="34"/>
      <c r="D43" s="34"/>
      <c r="E43" s="34"/>
      <c r="F43" s="34"/>
    </row>
    <row r="44" spans="1:20" x14ac:dyDescent="0.25">
      <c r="B44" s="1" t="s">
        <v>223</v>
      </c>
    </row>
    <row r="45" spans="1:20" x14ac:dyDescent="0.25">
      <c r="S45" s="78"/>
      <c r="T45" s="78"/>
    </row>
    <row r="47" spans="1:20" x14ac:dyDescent="0.25">
      <c r="D47" s="24" t="s">
        <v>90</v>
      </c>
      <c r="F47" s="24" t="s">
        <v>91</v>
      </c>
      <c r="G47" s="26"/>
    </row>
    <row r="48" spans="1:20" ht="15.75" x14ac:dyDescent="0.25">
      <c r="B48" s="24" t="s">
        <v>94</v>
      </c>
      <c r="D48" s="36" t="s">
        <v>102</v>
      </c>
      <c r="F48" s="36" t="s">
        <v>107</v>
      </c>
      <c r="G48" s="25"/>
      <c r="N48" s="74" t="s">
        <v>89</v>
      </c>
      <c r="O48" s="74"/>
    </row>
    <row r="49" spans="2:18" ht="15.75" x14ac:dyDescent="0.25">
      <c r="B49" s="36" t="s">
        <v>95</v>
      </c>
      <c r="D49" s="3" t="s">
        <v>103</v>
      </c>
      <c r="F49" s="3" t="s">
        <v>108</v>
      </c>
      <c r="G49" s="25"/>
    </row>
    <row r="50" spans="2:18" x14ac:dyDescent="0.25">
      <c r="B50" s="23" t="s">
        <v>96</v>
      </c>
      <c r="D50" s="3" t="s">
        <v>104</v>
      </c>
      <c r="F50" s="3" t="s">
        <v>109</v>
      </c>
      <c r="G50" s="25"/>
      <c r="K50" s="22" t="s">
        <v>90</v>
      </c>
      <c r="Q50" s="74" t="s">
        <v>91</v>
      </c>
      <c r="R50" s="74"/>
    </row>
    <row r="51" spans="2:18" x14ac:dyDescent="0.25">
      <c r="B51" s="23" t="s">
        <v>97</v>
      </c>
      <c r="D51" s="3" t="s">
        <v>105</v>
      </c>
      <c r="F51" s="3" t="s">
        <v>110</v>
      </c>
      <c r="G51" s="25"/>
    </row>
    <row r="52" spans="2:18" x14ac:dyDescent="0.25">
      <c r="B52" s="23" t="s">
        <v>98</v>
      </c>
      <c r="D52" s="3" t="s">
        <v>10</v>
      </c>
      <c r="F52" s="3" t="s">
        <v>111</v>
      </c>
      <c r="G52" s="25"/>
    </row>
    <row r="53" spans="2:18" x14ac:dyDescent="0.25">
      <c r="B53" s="23" t="s">
        <v>25</v>
      </c>
      <c r="D53" s="3" t="s">
        <v>106</v>
      </c>
      <c r="F53" s="3" t="s">
        <v>112</v>
      </c>
      <c r="G53" s="25"/>
    </row>
    <row r="54" spans="2:18" x14ac:dyDescent="0.25">
      <c r="B54" s="23" t="s">
        <v>99</v>
      </c>
      <c r="D54" s="25"/>
      <c r="N54" s="74" t="s">
        <v>88</v>
      </c>
      <c r="O54" s="74"/>
    </row>
    <row r="55" spans="2:18" x14ac:dyDescent="0.25">
      <c r="B55" s="23" t="s">
        <v>100</v>
      </c>
      <c r="D55" s="25"/>
    </row>
    <row r="56" spans="2:18" x14ac:dyDescent="0.25">
      <c r="B56" s="23" t="s">
        <v>101</v>
      </c>
    </row>
    <row r="59" spans="2:18" x14ac:dyDescent="0.25">
      <c r="D59" s="24" t="s">
        <v>88</v>
      </c>
    </row>
    <row r="60" spans="2:18" ht="15.75" x14ac:dyDescent="0.25">
      <c r="D60" s="36" t="s">
        <v>113</v>
      </c>
      <c r="N60" s="74" t="s">
        <v>92</v>
      </c>
      <c r="O60" s="74"/>
    </row>
    <row r="61" spans="2:18" ht="15.75" x14ac:dyDescent="0.25">
      <c r="D61" s="35" t="s">
        <v>114</v>
      </c>
    </row>
    <row r="62" spans="2:18" ht="15.75" x14ac:dyDescent="0.25">
      <c r="D62" s="35" t="s">
        <v>115</v>
      </c>
    </row>
    <row r="63" spans="2:18" ht="15.75" x14ac:dyDescent="0.25">
      <c r="D63" s="35" t="s">
        <v>116</v>
      </c>
    </row>
    <row r="64" spans="2:18" ht="15.75" x14ac:dyDescent="0.25">
      <c r="D64" s="35" t="s">
        <v>117</v>
      </c>
    </row>
    <row r="65" spans="4:15" ht="15.75" x14ac:dyDescent="0.25">
      <c r="D65" s="35" t="s">
        <v>118</v>
      </c>
      <c r="N65" s="72" t="s">
        <v>93</v>
      </c>
      <c r="O65" s="73"/>
    </row>
    <row r="66" spans="4:15" x14ac:dyDescent="0.25">
      <c r="D66" s="29" t="s">
        <v>119</v>
      </c>
    </row>
    <row r="67" spans="4:15" x14ac:dyDescent="0.25">
      <c r="D67" s="29" t="s">
        <v>120</v>
      </c>
    </row>
    <row r="68" spans="4:15" ht="18.75" x14ac:dyDescent="0.3">
      <c r="D68" s="29" t="s">
        <v>121</v>
      </c>
      <c r="E68" s="37" t="s">
        <v>224</v>
      </c>
    </row>
    <row r="69" spans="4:15" x14ac:dyDescent="0.25">
      <c r="D69" s="29" t="s">
        <v>122</v>
      </c>
    </row>
    <row r="73" spans="4:15" x14ac:dyDescent="0.25">
      <c r="D73" s="24" t="s">
        <v>92</v>
      </c>
    </row>
    <row r="74" spans="4:15" ht="15.75" x14ac:dyDescent="0.25">
      <c r="D74" s="36" t="s">
        <v>123</v>
      </c>
    </row>
    <row r="75" spans="4:15" x14ac:dyDescent="0.25">
      <c r="D75" s="3" t="s">
        <v>124</v>
      </c>
    </row>
    <row r="76" spans="4:15" x14ac:dyDescent="0.25">
      <c r="D76" s="3" t="s">
        <v>125</v>
      </c>
    </row>
    <row r="77" spans="4:15" x14ac:dyDescent="0.25">
      <c r="D77" s="3" t="s">
        <v>126</v>
      </c>
    </row>
    <row r="78" spans="4:15" x14ac:dyDescent="0.25">
      <c r="D78" s="3" t="s">
        <v>127</v>
      </c>
    </row>
    <row r="79" spans="4:15" x14ac:dyDescent="0.25">
      <c r="D79" s="3" t="s">
        <v>128</v>
      </c>
    </row>
    <row r="83" spans="4:4" x14ac:dyDescent="0.25">
      <c r="D83" s="24" t="s">
        <v>93</v>
      </c>
    </row>
    <row r="84" spans="4:4" ht="15.75" x14ac:dyDescent="0.25">
      <c r="D84" s="36" t="s">
        <v>129</v>
      </c>
    </row>
    <row r="85" spans="4:4" x14ac:dyDescent="0.25">
      <c r="D85" s="3" t="s">
        <v>130</v>
      </c>
    </row>
    <row r="86" spans="4:4" x14ac:dyDescent="0.25">
      <c r="D86" s="3" t="s">
        <v>131</v>
      </c>
    </row>
    <row r="87" spans="4:4" x14ac:dyDescent="0.25">
      <c r="D87" s="3" t="s">
        <v>112</v>
      </c>
    </row>
    <row r="88" spans="4:4" x14ac:dyDescent="0.25">
      <c r="D88" s="3" t="s">
        <v>10</v>
      </c>
    </row>
    <row r="171" spans="14:14" ht="18" x14ac:dyDescent="0.25">
      <c r="N171" s="19" t="s">
        <v>82</v>
      </c>
    </row>
    <row r="172" spans="14:14" x14ac:dyDescent="0.25">
      <c r="N172" s="20"/>
    </row>
    <row r="173" spans="14:14" x14ac:dyDescent="0.25">
      <c r="N173" s="21" t="s">
        <v>83</v>
      </c>
    </row>
    <row r="174" spans="14:14" x14ac:dyDescent="0.25">
      <c r="N174" s="21" t="s">
        <v>84</v>
      </c>
    </row>
    <row r="175" spans="14:14" x14ac:dyDescent="0.25">
      <c r="N175" s="21" t="s">
        <v>85</v>
      </c>
    </row>
    <row r="176" spans="14:14" x14ac:dyDescent="0.25">
      <c r="N176" s="21" t="s">
        <v>86</v>
      </c>
    </row>
    <row r="177" spans="14:14" x14ac:dyDescent="0.25">
      <c r="N177" s="21" t="s">
        <v>87</v>
      </c>
    </row>
  </sheetData>
  <mergeCells count="8">
    <mergeCell ref="N65:O65"/>
    <mergeCell ref="Q50:R50"/>
    <mergeCell ref="B3:C3"/>
    <mergeCell ref="S18:T18"/>
    <mergeCell ref="S45:T45"/>
    <mergeCell ref="N54:O54"/>
    <mergeCell ref="N48:O48"/>
    <mergeCell ref="N60:O6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DB67-2E44-45C6-BE45-BAA876CDDE89}">
  <dimension ref="A1:Q44"/>
  <sheetViews>
    <sheetView showGridLines="0" topLeftCell="A12" zoomScale="90" zoomScaleNormal="90" workbookViewId="0">
      <selection activeCell="M15" sqref="M15:Q26"/>
    </sheetView>
  </sheetViews>
  <sheetFormatPr defaultRowHeight="15" x14ac:dyDescent="0.25"/>
  <cols>
    <col min="4" max="4" width="17.85546875" bestFit="1" customWidth="1"/>
    <col min="5" max="5" width="17.85546875" customWidth="1"/>
    <col min="7" max="7" width="23.5703125" customWidth="1"/>
    <col min="8" max="8" width="44.140625" bestFit="1" customWidth="1"/>
    <col min="9" max="9" width="21.5703125" bestFit="1" customWidth="1"/>
    <col min="10" max="10" width="11.28515625" customWidth="1"/>
    <col min="12" max="12" width="5.140625" bestFit="1" customWidth="1"/>
    <col min="17" max="17" width="26.140625" customWidth="1"/>
  </cols>
  <sheetData>
    <row r="1" spans="1:17" ht="20.45" customHeight="1" x14ac:dyDescent="0.25">
      <c r="A1" s="82" t="s">
        <v>241</v>
      </c>
      <c r="B1" s="82"/>
      <c r="C1" s="82"/>
      <c r="D1" s="82"/>
      <c r="E1" s="82"/>
      <c r="F1" s="82"/>
      <c r="G1" s="82"/>
    </row>
    <row r="3" spans="1:17" x14ac:dyDescent="0.25">
      <c r="G3" s="24" t="s">
        <v>90</v>
      </c>
      <c r="I3" s="24" t="s">
        <v>91</v>
      </c>
    </row>
    <row r="4" spans="1:17" ht="15.75" x14ac:dyDescent="0.25">
      <c r="D4" s="24" t="s">
        <v>94</v>
      </c>
      <c r="E4" s="38"/>
      <c r="G4" s="36" t="s">
        <v>102</v>
      </c>
      <c r="I4" s="36" t="s">
        <v>107</v>
      </c>
    </row>
    <row r="5" spans="1:17" ht="15.75" x14ac:dyDescent="0.25">
      <c r="D5" s="36" t="s">
        <v>95</v>
      </c>
      <c r="E5" s="38"/>
      <c r="G5" s="3" t="s">
        <v>103</v>
      </c>
      <c r="I5" s="3" t="s">
        <v>108</v>
      </c>
    </row>
    <row r="6" spans="1:17" x14ac:dyDescent="0.25">
      <c r="D6" s="23" t="s">
        <v>96</v>
      </c>
      <c r="E6" s="38"/>
      <c r="G6" s="3" t="s">
        <v>104</v>
      </c>
      <c r="I6" s="3" t="s">
        <v>109</v>
      </c>
    </row>
    <row r="7" spans="1:17" x14ac:dyDescent="0.25">
      <c r="D7" s="23" t="s">
        <v>97</v>
      </c>
      <c r="E7" s="38"/>
      <c r="G7" s="3" t="s">
        <v>105</v>
      </c>
      <c r="I7" s="3" t="s">
        <v>110</v>
      </c>
    </row>
    <row r="8" spans="1:17" x14ac:dyDescent="0.25">
      <c r="D8" s="23" t="s">
        <v>25</v>
      </c>
      <c r="E8" s="38"/>
      <c r="G8" s="3" t="s">
        <v>10</v>
      </c>
      <c r="I8" s="3" t="s">
        <v>256</v>
      </c>
    </row>
    <row r="9" spans="1:17" x14ac:dyDescent="0.25">
      <c r="D9" s="23" t="s">
        <v>98</v>
      </c>
      <c r="E9" s="38"/>
      <c r="G9" s="3" t="s">
        <v>106</v>
      </c>
      <c r="I9" s="3" t="s">
        <v>112</v>
      </c>
    </row>
    <row r="10" spans="1:17" x14ac:dyDescent="0.25">
      <c r="D10" s="48" t="s">
        <v>110</v>
      </c>
      <c r="E10" s="38"/>
      <c r="G10" s="49" t="s">
        <v>294</v>
      </c>
      <c r="I10" s="3" t="s">
        <v>295</v>
      </c>
    </row>
    <row r="11" spans="1:17" x14ac:dyDescent="0.25">
      <c r="D11" s="23" t="s">
        <v>99</v>
      </c>
      <c r="E11" s="38"/>
      <c r="G11" s="25"/>
    </row>
    <row r="12" spans="1:17" x14ac:dyDescent="0.25">
      <c r="D12" s="23" t="s">
        <v>100</v>
      </c>
      <c r="E12" s="38"/>
    </row>
    <row r="13" spans="1:17" x14ac:dyDescent="0.25">
      <c r="D13" s="23" t="s">
        <v>101</v>
      </c>
    </row>
    <row r="14" spans="1:17" x14ac:dyDescent="0.25">
      <c r="K14" s="12" t="s">
        <v>232</v>
      </c>
      <c r="L14" s="12" t="s">
        <v>233</v>
      </c>
      <c r="M14" s="79" t="s">
        <v>230</v>
      </c>
      <c r="N14" s="80"/>
      <c r="O14" s="80"/>
      <c r="P14" s="80"/>
      <c r="Q14" s="81"/>
    </row>
    <row r="15" spans="1:17" x14ac:dyDescent="0.25">
      <c r="G15" s="24" t="s">
        <v>88</v>
      </c>
      <c r="K15" s="2" t="s">
        <v>257</v>
      </c>
      <c r="L15" s="39">
        <v>1</v>
      </c>
      <c r="M15" s="42" t="s">
        <v>238</v>
      </c>
      <c r="N15" s="42"/>
      <c r="O15" s="42"/>
      <c r="P15" s="42"/>
      <c r="Q15" s="42"/>
    </row>
    <row r="16" spans="1:17" ht="15.75" x14ac:dyDescent="0.25">
      <c r="G16" s="36" t="s">
        <v>113</v>
      </c>
      <c r="K16" s="2" t="s">
        <v>257</v>
      </c>
      <c r="L16" s="39">
        <v>2</v>
      </c>
      <c r="M16" s="42" t="s">
        <v>239</v>
      </c>
      <c r="N16" s="42"/>
      <c r="O16" s="42"/>
      <c r="P16" s="42"/>
      <c r="Q16" s="42"/>
    </row>
    <row r="17" spans="4:17" ht="15.75" x14ac:dyDescent="0.25">
      <c r="G17" s="35" t="s">
        <v>114</v>
      </c>
      <c r="K17" s="2" t="s">
        <v>257</v>
      </c>
      <c r="L17" s="39">
        <v>3</v>
      </c>
      <c r="M17" s="42" t="s">
        <v>240</v>
      </c>
      <c r="N17" s="42"/>
      <c r="O17" s="42"/>
      <c r="P17" s="42"/>
      <c r="Q17" s="42"/>
    </row>
    <row r="18" spans="4:17" ht="15.75" x14ac:dyDescent="0.25">
      <c r="G18" s="35" t="s">
        <v>115</v>
      </c>
      <c r="I18" s="24" t="s">
        <v>242</v>
      </c>
      <c r="K18" s="2" t="s">
        <v>245</v>
      </c>
      <c r="L18" s="39">
        <v>4</v>
      </c>
      <c r="M18" s="42" t="s">
        <v>260</v>
      </c>
      <c r="N18" s="42"/>
      <c r="O18" s="42"/>
      <c r="P18" s="42"/>
      <c r="Q18" s="42"/>
    </row>
    <row r="19" spans="4:17" ht="15.75" x14ac:dyDescent="0.25">
      <c r="G19" s="35" t="s">
        <v>244</v>
      </c>
      <c r="I19" s="36" t="s">
        <v>243</v>
      </c>
      <c r="K19" s="2" t="s">
        <v>246</v>
      </c>
      <c r="L19" s="39">
        <v>5</v>
      </c>
      <c r="M19" s="42" t="s">
        <v>259</v>
      </c>
      <c r="N19" s="42"/>
      <c r="O19" s="42"/>
      <c r="P19" s="42"/>
      <c r="Q19" s="42"/>
    </row>
    <row r="20" spans="4:17" ht="15.75" x14ac:dyDescent="0.25">
      <c r="G20" s="35" t="s">
        <v>116</v>
      </c>
      <c r="I20" s="3" t="s">
        <v>262</v>
      </c>
      <c r="K20" s="2" t="s">
        <v>247</v>
      </c>
      <c r="L20" s="39">
        <v>6</v>
      </c>
      <c r="M20" s="83" t="s">
        <v>250</v>
      </c>
      <c r="N20" s="84"/>
      <c r="O20" s="84"/>
      <c r="P20" s="84"/>
      <c r="Q20" s="85"/>
    </row>
    <row r="21" spans="4:17" ht="15.95" customHeight="1" x14ac:dyDescent="0.25">
      <c r="G21" s="35" t="s">
        <v>237</v>
      </c>
      <c r="I21" s="3" t="s">
        <v>263</v>
      </c>
      <c r="K21" s="40" t="s">
        <v>248</v>
      </c>
      <c r="L21" s="39">
        <v>7</v>
      </c>
      <c r="M21" s="42" t="s">
        <v>249</v>
      </c>
      <c r="N21" s="42"/>
      <c r="O21" s="42"/>
      <c r="P21" s="42"/>
      <c r="Q21" s="42"/>
    </row>
    <row r="22" spans="4:17" ht="15.75" x14ac:dyDescent="0.25">
      <c r="G22" s="35" t="s">
        <v>117</v>
      </c>
      <c r="I22" s="3" t="s">
        <v>264</v>
      </c>
      <c r="K22" s="40" t="s">
        <v>251</v>
      </c>
      <c r="L22" s="39">
        <v>8</v>
      </c>
      <c r="M22" s="42" t="s">
        <v>252</v>
      </c>
      <c r="N22" s="42"/>
      <c r="O22" s="42"/>
      <c r="P22" s="42"/>
      <c r="Q22" s="42"/>
    </row>
    <row r="23" spans="4:17" ht="15.75" x14ac:dyDescent="0.25">
      <c r="G23" s="35" t="s">
        <v>118</v>
      </c>
      <c r="I23" s="3" t="s">
        <v>265</v>
      </c>
      <c r="K23" s="40" t="s">
        <v>231</v>
      </c>
      <c r="L23" s="39">
        <v>9</v>
      </c>
      <c r="M23" s="42" t="s">
        <v>258</v>
      </c>
      <c r="N23" s="42"/>
      <c r="O23" s="42"/>
      <c r="P23" s="42"/>
      <c r="Q23" s="42"/>
    </row>
    <row r="24" spans="4:17" x14ac:dyDescent="0.25">
      <c r="G24" s="43" t="s">
        <v>119</v>
      </c>
      <c r="I24" s="3" t="s">
        <v>266</v>
      </c>
      <c r="K24" s="40" t="s">
        <v>253</v>
      </c>
      <c r="L24" s="39">
        <v>10</v>
      </c>
      <c r="M24" s="83" t="s">
        <v>254</v>
      </c>
      <c r="N24" s="84"/>
      <c r="O24" s="84"/>
      <c r="P24" s="84"/>
      <c r="Q24" s="85"/>
    </row>
    <row r="25" spans="4:17" x14ac:dyDescent="0.25">
      <c r="G25" s="43" t="s">
        <v>120</v>
      </c>
      <c r="I25" s="3" t="s">
        <v>288</v>
      </c>
      <c r="K25" s="40" t="s">
        <v>355</v>
      </c>
      <c r="L25" s="39">
        <v>11</v>
      </c>
      <c r="M25" s="86" t="s">
        <v>255</v>
      </c>
      <c r="N25" s="86"/>
      <c r="O25" s="86"/>
      <c r="P25" s="86"/>
      <c r="Q25" s="86"/>
    </row>
    <row r="26" spans="4:17" x14ac:dyDescent="0.25">
      <c r="G26" s="43" t="s">
        <v>121</v>
      </c>
      <c r="H26" s="47" t="s">
        <v>224</v>
      </c>
      <c r="I26" s="3" t="s">
        <v>290</v>
      </c>
      <c r="K26" s="40" t="s">
        <v>257</v>
      </c>
      <c r="L26" s="41">
        <v>12</v>
      </c>
      <c r="M26" s="87" t="s">
        <v>352</v>
      </c>
      <c r="N26" s="88"/>
      <c r="O26" s="88"/>
      <c r="P26" s="88"/>
      <c r="Q26" s="89"/>
    </row>
    <row r="27" spans="4:17" x14ac:dyDescent="0.25">
      <c r="G27" s="43" t="s">
        <v>122</v>
      </c>
    </row>
    <row r="30" spans="4:17" x14ac:dyDescent="0.25">
      <c r="D30" s="24" t="s">
        <v>92</v>
      </c>
    </row>
    <row r="31" spans="4:17" ht="15.75" x14ac:dyDescent="0.25">
      <c r="D31" s="36" t="s">
        <v>123</v>
      </c>
      <c r="I31" s="24" t="s">
        <v>93</v>
      </c>
    </row>
    <row r="32" spans="4:17" ht="15.75" x14ac:dyDescent="0.25">
      <c r="D32" s="3" t="s">
        <v>124</v>
      </c>
      <c r="I32" s="36" t="s">
        <v>129</v>
      </c>
    </row>
    <row r="33" spans="4:9" x14ac:dyDescent="0.25">
      <c r="D33" s="3" t="s">
        <v>125</v>
      </c>
      <c r="I33" s="3" t="s">
        <v>130</v>
      </c>
    </row>
    <row r="34" spans="4:9" x14ac:dyDescent="0.25">
      <c r="D34" s="3" t="s">
        <v>126</v>
      </c>
      <c r="G34" s="24" t="s">
        <v>235</v>
      </c>
      <c r="I34" s="3" t="s">
        <v>131</v>
      </c>
    </row>
    <row r="35" spans="4:9" ht="15.75" x14ac:dyDescent="0.25">
      <c r="D35" s="3" t="s">
        <v>127</v>
      </c>
      <c r="G35" s="36" t="s">
        <v>236</v>
      </c>
      <c r="I35" s="3" t="s">
        <v>112</v>
      </c>
    </row>
    <row r="36" spans="4:9" x14ac:dyDescent="0.25">
      <c r="D36" s="3" t="s">
        <v>128</v>
      </c>
      <c r="G36" s="5" t="s">
        <v>150</v>
      </c>
      <c r="I36" s="3" t="s">
        <v>10</v>
      </c>
    </row>
    <row r="37" spans="4:9" x14ac:dyDescent="0.25">
      <c r="D37" s="3" t="s">
        <v>292</v>
      </c>
      <c r="G37" s="5" t="s">
        <v>184</v>
      </c>
    </row>
    <row r="38" spans="4:9" x14ac:dyDescent="0.25">
      <c r="D38" s="3" t="s">
        <v>293</v>
      </c>
      <c r="G38" s="5" t="s">
        <v>200</v>
      </c>
    </row>
    <row r="39" spans="4:9" x14ac:dyDescent="0.25">
      <c r="G39" s="3" t="s">
        <v>296</v>
      </c>
    </row>
    <row r="40" spans="4:9" x14ac:dyDescent="0.25">
      <c r="G40" s="3" t="s">
        <v>297</v>
      </c>
    </row>
    <row r="41" spans="4:9" x14ac:dyDescent="0.25">
      <c r="G41" s="3" t="s">
        <v>298</v>
      </c>
    </row>
    <row r="42" spans="4:9" x14ac:dyDescent="0.25">
      <c r="G42" s="3" t="s">
        <v>299</v>
      </c>
    </row>
    <row r="44" spans="4:9" x14ac:dyDescent="0.25">
      <c r="F44" s="1"/>
      <c r="G44" s="1"/>
      <c r="H44" s="1"/>
    </row>
  </sheetData>
  <mergeCells count="6">
    <mergeCell ref="M14:Q14"/>
    <mergeCell ref="A1:G1"/>
    <mergeCell ref="M24:Q24"/>
    <mergeCell ref="M25:Q25"/>
    <mergeCell ref="M20:Q20"/>
    <mergeCell ref="M26:Q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772EA-0EA3-4088-B03B-101C441FD696}">
  <dimension ref="B3:H108"/>
  <sheetViews>
    <sheetView showGridLines="0" zoomScaleNormal="100" workbookViewId="0">
      <selection activeCell="C108" sqref="C108"/>
    </sheetView>
  </sheetViews>
  <sheetFormatPr defaultColWidth="74.85546875" defaultRowHeight="14.25" x14ac:dyDescent="0.2"/>
  <cols>
    <col min="1" max="1" width="13.7109375" style="51" customWidth="1"/>
    <col min="2" max="2" width="5.28515625" style="51" customWidth="1"/>
    <col min="3" max="3" width="81.85546875" style="51" bestFit="1" customWidth="1"/>
    <col min="4" max="4" width="40.5703125" style="51" customWidth="1"/>
    <col min="5" max="5" width="46.85546875" style="51" customWidth="1"/>
    <col min="6" max="6" width="36.140625" style="51" customWidth="1"/>
    <col min="7" max="7" width="32.42578125" style="51" customWidth="1"/>
    <col min="8" max="8" width="29.42578125" style="51" customWidth="1"/>
    <col min="9" max="16384" width="74.85546875" style="51"/>
  </cols>
  <sheetData>
    <row r="3" spans="2:6" x14ac:dyDescent="0.2">
      <c r="B3" s="50" t="s">
        <v>300</v>
      </c>
      <c r="C3" s="50" t="s">
        <v>301</v>
      </c>
      <c r="D3" s="50" t="s">
        <v>135</v>
      </c>
      <c r="E3" s="50" t="s">
        <v>302</v>
      </c>
      <c r="F3" s="50" t="s">
        <v>303</v>
      </c>
    </row>
    <row r="4" spans="2:6" x14ac:dyDescent="0.2">
      <c r="B4" s="52">
        <v>1</v>
      </c>
      <c r="C4" s="53" t="s">
        <v>304</v>
      </c>
      <c r="D4" s="53" t="s">
        <v>88</v>
      </c>
      <c r="E4" s="53" t="s">
        <v>305</v>
      </c>
      <c r="F4" s="53" t="s">
        <v>306</v>
      </c>
    </row>
    <row r="5" spans="2:6" x14ac:dyDescent="0.2">
      <c r="B5" s="52">
        <v>2</v>
      </c>
      <c r="C5" s="53" t="s">
        <v>307</v>
      </c>
      <c r="D5" s="53" t="s">
        <v>88</v>
      </c>
      <c r="E5" s="53" t="s">
        <v>89</v>
      </c>
      <c r="F5" s="53" t="s">
        <v>308</v>
      </c>
    </row>
    <row r="6" spans="2:6" x14ac:dyDescent="0.2">
      <c r="B6" s="52">
        <v>3</v>
      </c>
      <c r="C6" s="53" t="s">
        <v>309</v>
      </c>
      <c r="D6" s="53" t="s">
        <v>88</v>
      </c>
      <c r="E6" s="53" t="s">
        <v>310</v>
      </c>
      <c r="F6" s="53" t="s">
        <v>311</v>
      </c>
    </row>
    <row r="7" spans="2:6" x14ac:dyDescent="0.2">
      <c r="B7" s="52">
        <v>4</v>
      </c>
      <c r="C7" s="53" t="s">
        <v>312</v>
      </c>
      <c r="D7" s="53" t="s">
        <v>313</v>
      </c>
      <c r="E7" s="53" t="s">
        <v>89</v>
      </c>
      <c r="F7" s="53" t="s">
        <v>314</v>
      </c>
    </row>
    <row r="8" spans="2:6" x14ac:dyDescent="0.2">
      <c r="B8" s="52">
        <v>5</v>
      </c>
      <c r="C8" s="53" t="s">
        <v>315</v>
      </c>
      <c r="D8" s="53" t="s">
        <v>88</v>
      </c>
      <c r="E8" s="53" t="s">
        <v>316</v>
      </c>
      <c r="F8" s="53" t="s">
        <v>317</v>
      </c>
    </row>
    <row r="9" spans="2:6" x14ac:dyDescent="0.2">
      <c r="B9" s="52">
        <v>6</v>
      </c>
      <c r="C9" s="53" t="s">
        <v>318</v>
      </c>
      <c r="D9" s="53" t="s">
        <v>88</v>
      </c>
      <c r="E9" s="53" t="s">
        <v>319</v>
      </c>
      <c r="F9" s="53" t="s">
        <v>311</v>
      </c>
    </row>
    <row r="10" spans="2:6" x14ac:dyDescent="0.2">
      <c r="B10" s="52">
        <v>7</v>
      </c>
      <c r="C10" s="53" t="s">
        <v>320</v>
      </c>
      <c r="D10" s="53" t="s">
        <v>88</v>
      </c>
      <c r="E10" s="53" t="s">
        <v>321</v>
      </c>
      <c r="F10" s="53" t="s">
        <v>317</v>
      </c>
    </row>
    <row r="11" spans="2:6" x14ac:dyDescent="0.2">
      <c r="B11" s="52">
        <v>8</v>
      </c>
      <c r="C11" s="53" t="s">
        <v>322</v>
      </c>
      <c r="D11" s="53" t="s">
        <v>88</v>
      </c>
      <c r="E11" s="53" t="s">
        <v>92</v>
      </c>
      <c r="F11" s="53" t="s">
        <v>323</v>
      </c>
    </row>
    <row r="12" spans="2:6" x14ac:dyDescent="0.2">
      <c r="B12" s="52">
        <v>9</v>
      </c>
      <c r="C12" s="53" t="s">
        <v>324</v>
      </c>
      <c r="D12" s="53" t="s">
        <v>88</v>
      </c>
      <c r="E12" s="53" t="s">
        <v>325</v>
      </c>
      <c r="F12" s="53" t="s">
        <v>311</v>
      </c>
    </row>
    <row r="13" spans="2:6" x14ac:dyDescent="0.2">
      <c r="B13" s="52">
        <v>10</v>
      </c>
      <c r="C13" s="53" t="s">
        <v>326</v>
      </c>
      <c r="D13" s="53" t="s">
        <v>89</v>
      </c>
      <c r="E13" s="53" t="s">
        <v>93</v>
      </c>
      <c r="F13" s="53" t="s">
        <v>327</v>
      </c>
    </row>
    <row r="14" spans="2:6" x14ac:dyDescent="0.2">
      <c r="B14" s="52">
        <v>11</v>
      </c>
      <c r="C14" s="53" t="s">
        <v>328</v>
      </c>
      <c r="D14" s="53" t="s">
        <v>88</v>
      </c>
      <c r="E14" s="53" t="s">
        <v>319</v>
      </c>
      <c r="F14" s="53" t="s">
        <v>308</v>
      </c>
    </row>
    <row r="22" spans="3:8" ht="22.5" x14ac:dyDescent="0.2">
      <c r="F22" s="54" t="s">
        <v>329</v>
      </c>
    </row>
    <row r="24" spans="3:8" x14ac:dyDescent="0.2">
      <c r="C24" s="55"/>
    </row>
    <row r="25" spans="3:8" x14ac:dyDescent="0.2">
      <c r="C25" s="56"/>
      <c r="F25" s="90" t="s">
        <v>356</v>
      </c>
    </row>
    <row r="26" spans="3:8" x14ac:dyDescent="0.2">
      <c r="C26" s="56"/>
      <c r="F26" s="91"/>
    </row>
    <row r="27" spans="3:8" x14ac:dyDescent="0.2">
      <c r="C27" s="56"/>
      <c r="F27" s="91"/>
    </row>
    <row r="28" spans="3:8" x14ac:dyDescent="0.2">
      <c r="C28" s="56"/>
    </row>
    <row r="29" spans="3:8" x14ac:dyDescent="0.2">
      <c r="C29" s="56"/>
    </row>
    <row r="30" spans="3:8" x14ac:dyDescent="0.2">
      <c r="C30" s="56"/>
    </row>
    <row r="31" spans="3:8" x14ac:dyDescent="0.2">
      <c r="C31" s="56"/>
      <c r="D31" s="90" t="s">
        <v>357</v>
      </c>
      <c r="F31" s="90" t="s">
        <v>358</v>
      </c>
      <c r="H31" s="92" t="s">
        <v>359</v>
      </c>
    </row>
    <row r="32" spans="3:8" x14ac:dyDescent="0.2">
      <c r="C32" s="56"/>
      <c r="D32" s="91"/>
      <c r="F32" s="91"/>
      <c r="H32" s="93"/>
    </row>
    <row r="33" spans="3:8" x14ac:dyDescent="0.2">
      <c r="C33" s="56"/>
      <c r="D33" s="91"/>
      <c r="F33" s="91"/>
      <c r="H33" s="93"/>
    </row>
    <row r="34" spans="3:8" x14ac:dyDescent="0.2">
      <c r="C34" s="56"/>
    </row>
    <row r="35" spans="3:8" x14ac:dyDescent="0.2">
      <c r="C35" s="56"/>
    </row>
    <row r="36" spans="3:8" x14ac:dyDescent="0.2">
      <c r="C36" s="56"/>
    </row>
    <row r="37" spans="3:8" x14ac:dyDescent="0.2">
      <c r="C37" s="56"/>
    </row>
    <row r="38" spans="3:8" x14ac:dyDescent="0.2">
      <c r="C38" s="56"/>
      <c r="D38" s="90" t="s">
        <v>360</v>
      </c>
      <c r="F38" s="90" t="s">
        <v>361</v>
      </c>
      <c r="H38" s="90" t="s">
        <v>362</v>
      </c>
    </row>
    <row r="39" spans="3:8" x14ac:dyDescent="0.2">
      <c r="C39" s="56"/>
      <c r="D39" s="91"/>
      <c r="F39" s="91"/>
      <c r="H39" s="91"/>
    </row>
    <row r="40" spans="3:8" x14ac:dyDescent="0.2">
      <c r="C40" s="56"/>
      <c r="D40" s="91"/>
      <c r="F40" s="91"/>
      <c r="H40" s="91"/>
    </row>
    <row r="41" spans="3:8" x14ac:dyDescent="0.2">
      <c r="C41" s="56"/>
    </row>
    <row r="42" spans="3:8" x14ac:dyDescent="0.2">
      <c r="C42" s="56"/>
    </row>
    <row r="43" spans="3:8" x14ac:dyDescent="0.2">
      <c r="C43" s="56"/>
    </row>
    <row r="50" spans="3:3" ht="30" x14ac:dyDescent="0.2">
      <c r="C50" s="57" t="s">
        <v>330</v>
      </c>
    </row>
    <row r="51" spans="3:3" x14ac:dyDescent="0.2">
      <c r="C51" s="55"/>
    </row>
    <row r="52" spans="3:3" ht="171" x14ac:dyDescent="0.2">
      <c r="C52" s="52" t="s">
        <v>331</v>
      </c>
    </row>
    <row r="53" spans="3:3" x14ac:dyDescent="0.2">
      <c r="C53" s="56"/>
    </row>
    <row r="54" spans="3:3" x14ac:dyDescent="0.2">
      <c r="C54" s="56"/>
    </row>
    <row r="56" spans="3:3" ht="30" x14ac:dyDescent="0.2">
      <c r="C56" s="57" t="s">
        <v>332</v>
      </c>
    </row>
    <row r="57" spans="3:3" x14ac:dyDescent="0.2">
      <c r="C57" s="56"/>
    </row>
    <row r="58" spans="3:3" ht="128.25" x14ac:dyDescent="0.2">
      <c r="C58" s="52" t="s">
        <v>333</v>
      </c>
    </row>
    <row r="59" spans="3:3" x14ac:dyDescent="0.2">
      <c r="C59" s="56"/>
    </row>
    <row r="60" spans="3:3" x14ac:dyDescent="0.2">
      <c r="C60" s="56"/>
    </row>
    <row r="61" spans="3:3" ht="30" x14ac:dyDescent="0.2">
      <c r="C61" s="57" t="s">
        <v>335</v>
      </c>
    </row>
    <row r="62" spans="3:3" x14ac:dyDescent="0.2">
      <c r="C62" s="56"/>
    </row>
    <row r="63" spans="3:3" ht="171" x14ac:dyDescent="0.2">
      <c r="C63" s="52" t="s">
        <v>334</v>
      </c>
    </row>
    <row r="67" spans="3:3" ht="30" x14ac:dyDescent="0.2">
      <c r="C67" s="57" t="s">
        <v>336</v>
      </c>
    </row>
    <row r="69" spans="3:3" ht="99.75" x14ac:dyDescent="0.2">
      <c r="C69" s="52" t="s">
        <v>337</v>
      </c>
    </row>
    <row r="72" spans="3:3" ht="30" x14ac:dyDescent="0.2">
      <c r="C72" s="57" t="s">
        <v>338</v>
      </c>
    </row>
    <row r="74" spans="3:3" ht="142.5" x14ac:dyDescent="0.2">
      <c r="C74" s="52" t="s">
        <v>339</v>
      </c>
    </row>
    <row r="77" spans="3:3" ht="30" x14ac:dyDescent="0.2">
      <c r="C77" s="57" t="s">
        <v>340</v>
      </c>
    </row>
    <row r="79" spans="3:3" ht="242.25" x14ac:dyDescent="0.2">
      <c r="C79" s="52" t="s">
        <v>341</v>
      </c>
    </row>
    <row r="81" spans="3:3" ht="30" x14ac:dyDescent="0.2">
      <c r="C81" s="57" t="s">
        <v>342</v>
      </c>
    </row>
    <row r="83" spans="3:3" ht="156.75" x14ac:dyDescent="0.2">
      <c r="C83" s="52" t="s">
        <v>343</v>
      </c>
    </row>
    <row r="86" spans="3:3" ht="30" x14ac:dyDescent="0.2">
      <c r="C86" s="57" t="s">
        <v>344</v>
      </c>
    </row>
    <row r="88" spans="3:3" ht="156.75" x14ac:dyDescent="0.2">
      <c r="C88" s="52" t="s">
        <v>345</v>
      </c>
    </row>
    <row r="91" spans="3:3" ht="30" x14ac:dyDescent="0.2">
      <c r="C91" s="57" t="s">
        <v>346</v>
      </c>
    </row>
    <row r="93" spans="3:3" ht="313.5" x14ac:dyDescent="0.2">
      <c r="C93" s="52" t="s">
        <v>347</v>
      </c>
    </row>
    <row r="96" spans="3:3" ht="30" x14ac:dyDescent="0.2">
      <c r="C96" s="57" t="s">
        <v>348</v>
      </c>
    </row>
    <row r="98" spans="3:3" ht="114" x14ac:dyDescent="0.2">
      <c r="C98" s="52" t="s">
        <v>349</v>
      </c>
    </row>
    <row r="101" spans="3:3" ht="30" x14ac:dyDescent="0.2">
      <c r="C101" s="57" t="s">
        <v>350</v>
      </c>
    </row>
    <row r="103" spans="3:3" ht="213.75" x14ac:dyDescent="0.2">
      <c r="C103" s="52" t="s">
        <v>351</v>
      </c>
    </row>
    <row r="106" spans="3:3" ht="30" x14ac:dyDescent="0.2">
      <c r="C106" s="57" t="s">
        <v>353</v>
      </c>
    </row>
    <row r="108" spans="3:3" ht="128.25" x14ac:dyDescent="0.2">
      <c r="C108" s="52" t="s">
        <v>354</v>
      </c>
    </row>
  </sheetData>
  <mergeCells count="7">
    <mergeCell ref="F25:F27"/>
    <mergeCell ref="D31:D33"/>
    <mergeCell ref="F31:F33"/>
    <mergeCell ref="H31:H33"/>
    <mergeCell ref="D38:D40"/>
    <mergeCell ref="F38:F40"/>
    <mergeCell ref="H38:H4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8B083-6342-4A7A-BDDA-ECB317C2FBD3}">
  <dimension ref="A2:R71"/>
  <sheetViews>
    <sheetView showGridLines="0" topLeftCell="A38" workbookViewId="0">
      <selection activeCell="B91" sqref="B91"/>
    </sheetView>
  </sheetViews>
  <sheetFormatPr defaultRowHeight="15" x14ac:dyDescent="0.25"/>
  <cols>
    <col min="1" max="1" width="2.42578125" customWidth="1"/>
    <col min="2" max="2" width="22.28515625" customWidth="1"/>
    <col min="3" max="3" width="24" customWidth="1"/>
    <col min="4" max="4" width="18.5703125" customWidth="1"/>
    <col min="5" max="5" width="16.140625" customWidth="1"/>
    <col min="6" max="6" width="18.5703125" bestFit="1" customWidth="1"/>
    <col min="7" max="7" width="21.140625" bestFit="1" customWidth="1"/>
    <col min="8" max="8" width="4.28515625" customWidth="1"/>
    <col min="9" max="9" width="3.5703125" customWidth="1"/>
    <col min="10" max="11" width="17.140625" customWidth="1"/>
    <col min="12" max="12" width="18.140625" customWidth="1"/>
    <col min="13" max="13" width="14.140625" bestFit="1" customWidth="1"/>
    <col min="14" max="14" width="21.5703125" bestFit="1" customWidth="1"/>
    <col min="15" max="15" width="18.42578125" bestFit="1" customWidth="1"/>
    <col min="16" max="16" width="21" bestFit="1" customWidth="1"/>
    <col min="25" max="25" width="26.5703125" customWidth="1"/>
  </cols>
  <sheetData>
    <row r="2" spans="1:15" x14ac:dyDescent="0.25">
      <c r="A2" s="1"/>
      <c r="B2" s="1" t="s">
        <v>439</v>
      </c>
      <c r="C2" s="1"/>
      <c r="D2" s="1"/>
      <c r="E2" s="1"/>
      <c r="F2" s="1"/>
      <c r="G2" s="1"/>
      <c r="H2" s="1"/>
    </row>
    <row r="3" spans="1:15" x14ac:dyDescent="0.25">
      <c r="A3" s="1"/>
      <c r="B3" s="1"/>
      <c r="C3" s="1"/>
      <c r="D3" s="1"/>
      <c r="E3" s="1"/>
      <c r="F3" s="1"/>
      <c r="G3" s="1"/>
      <c r="H3" s="1"/>
    </row>
    <row r="4" spans="1:15" x14ac:dyDescent="0.25">
      <c r="A4" s="1">
        <v>1</v>
      </c>
      <c r="B4" s="1" t="s">
        <v>363</v>
      </c>
      <c r="C4" s="1"/>
      <c r="D4" s="1"/>
      <c r="E4" s="1"/>
      <c r="F4" s="1"/>
      <c r="G4" s="1"/>
      <c r="H4" s="1"/>
    </row>
    <row r="5" spans="1:15" x14ac:dyDescent="0.25">
      <c r="A5" s="1">
        <v>2</v>
      </c>
      <c r="B5" s="1" t="s">
        <v>364</v>
      </c>
      <c r="C5" s="1"/>
      <c r="D5" s="1"/>
      <c r="E5" s="1"/>
      <c r="F5" s="1"/>
      <c r="G5" s="1"/>
      <c r="H5" s="1"/>
    </row>
    <row r="6" spans="1:15" x14ac:dyDescent="0.25">
      <c r="A6" s="1">
        <v>3</v>
      </c>
      <c r="B6" s="1" t="s">
        <v>365</v>
      </c>
      <c r="C6" s="1"/>
      <c r="D6" s="1"/>
      <c r="E6" s="1"/>
      <c r="F6" s="1"/>
      <c r="G6" s="1"/>
      <c r="H6" s="1"/>
    </row>
    <row r="7" spans="1:15" x14ac:dyDescent="0.25">
      <c r="A7" s="1"/>
      <c r="B7" s="1"/>
      <c r="C7" s="1"/>
      <c r="D7" s="1"/>
      <c r="E7" s="1"/>
      <c r="F7" s="1"/>
      <c r="G7" s="1"/>
      <c r="H7" s="1"/>
    </row>
    <row r="10" spans="1:15" x14ac:dyDescent="0.25">
      <c r="B10" s="59" t="s">
        <v>366</v>
      </c>
      <c r="C10" s="3"/>
      <c r="D10" s="3"/>
    </row>
    <row r="11" spans="1:15" x14ac:dyDescent="0.25">
      <c r="B11" s="58" t="s">
        <v>367</v>
      </c>
      <c r="C11" s="58" t="s">
        <v>368</v>
      </c>
      <c r="D11" s="58" t="s">
        <v>369</v>
      </c>
    </row>
    <row r="15" spans="1:15" ht="18.75" x14ac:dyDescent="0.3">
      <c r="B15" s="60" t="s">
        <v>371</v>
      </c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</row>
    <row r="16" spans="1:15" ht="18.75" x14ac:dyDescent="0.3"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</row>
    <row r="17" spans="1:18" ht="18.75" x14ac:dyDescent="0.3">
      <c r="B17" s="60" t="s">
        <v>372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</row>
    <row r="18" spans="1:18" ht="18.75" x14ac:dyDescent="0.3"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</row>
    <row r="19" spans="1:18" ht="18.75" x14ac:dyDescent="0.3">
      <c r="B19" s="60" t="s">
        <v>373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</row>
    <row r="20" spans="1:18" ht="18.75" x14ac:dyDescent="0.3"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</row>
    <row r="21" spans="1:18" ht="18.75" x14ac:dyDescent="0.3">
      <c r="A21" s="62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2"/>
      <c r="Q21" s="62"/>
      <c r="R21" s="62"/>
    </row>
    <row r="22" spans="1:18" ht="18.75" x14ac:dyDescent="0.3">
      <c r="A22" s="62"/>
      <c r="B22" s="63" t="s">
        <v>370</v>
      </c>
      <c r="C22" s="64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2"/>
      <c r="Q22" s="62"/>
      <c r="R22" s="62"/>
    </row>
    <row r="23" spans="1:18" ht="18.75" customHeight="1" x14ac:dyDescent="0.25">
      <c r="A23" s="62"/>
      <c r="B23" s="99" t="s">
        <v>374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1"/>
      <c r="R23" s="62"/>
    </row>
    <row r="24" spans="1:18" ht="18.75" customHeight="1" x14ac:dyDescent="0.25">
      <c r="A24" s="62"/>
      <c r="B24" s="99" t="s">
        <v>375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1"/>
      <c r="R24" s="62"/>
    </row>
    <row r="25" spans="1:18" ht="18.75" customHeight="1" x14ac:dyDescent="0.25">
      <c r="A25" s="62"/>
      <c r="B25" s="99" t="s">
        <v>376</v>
      </c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1"/>
      <c r="R25" s="62"/>
    </row>
    <row r="26" spans="1:18" ht="18.75" x14ac:dyDescent="0.3">
      <c r="A26" s="62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2"/>
      <c r="Q26" s="62"/>
      <c r="R26" s="62"/>
    </row>
    <row r="27" spans="1:18" ht="18.75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</row>
    <row r="28" spans="1:18" ht="18.75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</row>
    <row r="29" spans="1:18" ht="18.75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</row>
    <row r="30" spans="1:18" ht="18.75" x14ac:dyDescent="0.3">
      <c r="B30" s="65" t="s">
        <v>377</v>
      </c>
      <c r="C30" s="64"/>
      <c r="D30" s="64"/>
      <c r="E30" s="64"/>
      <c r="F30" s="64"/>
      <c r="G30" s="64"/>
      <c r="H30" s="64"/>
      <c r="I30" s="61"/>
      <c r="J30" s="61"/>
      <c r="K30" s="61"/>
      <c r="L30" s="61"/>
      <c r="M30" s="61"/>
      <c r="N30" s="61"/>
      <c r="O30" s="61"/>
    </row>
    <row r="31" spans="1:18" ht="18.75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</row>
    <row r="32" spans="1:18" ht="18.75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</row>
    <row r="33" spans="2:15" ht="18.75" x14ac:dyDescent="0.3">
      <c r="B33" s="86" t="s">
        <v>378</v>
      </c>
      <c r="C33" s="86"/>
      <c r="D33" s="86"/>
      <c r="E33" s="95" t="s">
        <v>380</v>
      </c>
      <c r="F33" s="95"/>
      <c r="G33" s="95"/>
      <c r="H33" s="95"/>
      <c r="I33" s="61"/>
      <c r="J33" s="61"/>
      <c r="K33" s="61"/>
      <c r="L33" s="61"/>
      <c r="M33" s="61"/>
      <c r="N33" s="61"/>
      <c r="O33" s="61"/>
    </row>
    <row r="34" spans="2:15" ht="18.75" x14ac:dyDescent="0.3">
      <c r="B34" s="86" t="s">
        <v>379</v>
      </c>
      <c r="C34" s="86"/>
      <c r="D34" s="86"/>
      <c r="E34" s="95" t="s">
        <v>381</v>
      </c>
      <c r="F34" s="95"/>
      <c r="G34" s="95"/>
      <c r="H34" s="95"/>
      <c r="I34" s="61"/>
      <c r="J34" s="61"/>
      <c r="K34" s="61"/>
      <c r="L34" s="61"/>
      <c r="M34" s="61"/>
      <c r="N34" s="61"/>
      <c r="O34" s="61"/>
    </row>
    <row r="35" spans="2:15" ht="18.75" x14ac:dyDescent="0.3">
      <c r="B35" s="96"/>
      <c r="C35" s="97"/>
      <c r="D35" s="98"/>
      <c r="E35" s="95" t="s">
        <v>382</v>
      </c>
      <c r="F35" s="95"/>
      <c r="G35" s="95"/>
      <c r="H35" s="95"/>
      <c r="I35" s="61"/>
      <c r="J35" s="61"/>
      <c r="K35" s="61"/>
      <c r="L35" s="61"/>
      <c r="M35" s="61"/>
      <c r="N35" s="61"/>
      <c r="O35" s="61"/>
    </row>
    <row r="36" spans="2:15" ht="18.75" x14ac:dyDescent="0.3"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</row>
    <row r="37" spans="2:15" ht="18.75" x14ac:dyDescent="0.3"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</row>
    <row r="38" spans="2:15" ht="116.25" customHeight="1" x14ac:dyDescent="0.3">
      <c r="B38" s="94" t="s">
        <v>440</v>
      </c>
      <c r="C38" s="94"/>
      <c r="D38" s="94"/>
      <c r="E38" s="94"/>
      <c r="F38" s="94"/>
      <c r="G38" s="61"/>
      <c r="H38" s="61"/>
      <c r="I38" s="61"/>
      <c r="J38" s="61"/>
      <c r="K38" s="61"/>
      <c r="L38" s="61"/>
      <c r="M38" s="61"/>
      <c r="N38" s="61"/>
      <c r="O38" s="61"/>
    </row>
    <row r="39" spans="2:15" ht="18.75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</row>
    <row r="41" spans="2:15" ht="31.5" x14ac:dyDescent="0.25">
      <c r="B41" s="67" t="s">
        <v>397</v>
      </c>
      <c r="J41" s="66" t="s">
        <v>395</v>
      </c>
      <c r="K41" s="66"/>
    </row>
    <row r="42" spans="2:15" x14ac:dyDescent="0.25">
      <c r="B42" s="1" t="s">
        <v>398</v>
      </c>
      <c r="J42" s="1" t="s">
        <v>396</v>
      </c>
      <c r="K42" s="1"/>
    </row>
    <row r="45" spans="2:15" x14ac:dyDescent="0.25">
      <c r="B45" s="58" t="s">
        <v>383</v>
      </c>
      <c r="C45" s="58" t="s">
        <v>387</v>
      </c>
      <c r="D45" s="58" t="s">
        <v>389</v>
      </c>
      <c r="E45" s="58" t="s">
        <v>390</v>
      </c>
      <c r="F45" s="58" t="s">
        <v>392</v>
      </c>
      <c r="G45" s="58" t="s">
        <v>394</v>
      </c>
      <c r="J45" s="58" t="s">
        <v>399</v>
      </c>
      <c r="K45" s="58" t="s">
        <v>406</v>
      </c>
      <c r="L45" s="58" t="s">
        <v>402</v>
      </c>
      <c r="M45" s="58" t="s">
        <v>403</v>
      </c>
      <c r="N45" s="58" t="s">
        <v>412</v>
      </c>
      <c r="O45" s="58" t="s">
        <v>405</v>
      </c>
    </row>
    <row r="46" spans="2:15" x14ac:dyDescent="0.25">
      <c r="B46" s="68" t="s">
        <v>384</v>
      </c>
      <c r="C46" s="68" t="s">
        <v>388</v>
      </c>
      <c r="D46" s="68" t="s">
        <v>107</v>
      </c>
      <c r="E46" s="68" t="s">
        <v>391</v>
      </c>
      <c r="F46" s="68" t="s">
        <v>243</v>
      </c>
      <c r="G46" s="68" t="s">
        <v>129</v>
      </c>
      <c r="J46" s="68" t="s">
        <v>115</v>
      </c>
      <c r="K46" s="68" t="s">
        <v>407</v>
      </c>
      <c r="L46" s="68" t="s">
        <v>117</v>
      </c>
      <c r="M46" s="68" t="s">
        <v>404</v>
      </c>
      <c r="N46" s="68" t="s">
        <v>118</v>
      </c>
      <c r="O46" s="68" t="s">
        <v>114</v>
      </c>
    </row>
    <row r="47" spans="2:15" x14ac:dyDescent="0.25">
      <c r="B47" s="2" t="s">
        <v>124</v>
      </c>
      <c r="C47" s="2" t="s">
        <v>150</v>
      </c>
      <c r="D47" s="2" t="s">
        <v>108</v>
      </c>
      <c r="E47" s="2" t="s">
        <v>184</v>
      </c>
      <c r="F47" s="2" t="s">
        <v>393</v>
      </c>
      <c r="G47" s="2" t="s">
        <v>164</v>
      </c>
      <c r="J47" s="3" t="s">
        <v>151</v>
      </c>
      <c r="K47" s="3" t="s">
        <v>408</v>
      </c>
      <c r="L47" s="3" t="s">
        <v>110</v>
      </c>
      <c r="M47" s="3" t="s">
        <v>186</v>
      </c>
      <c r="N47" s="3" t="s">
        <v>413</v>
      </c>
      <c r="O47" s="3" t="s">
        <v>126</v>
      </c>
    </row>
    <row r="48" spans="2:15" x14ac:dyDescent="0.25">
      <c r="B48" s="29" t="s">
        <v>385</v>
      </c>
      <c r="C48" s="29" t="s">
        <v>385</v>
      </c>
      <c r="D48" s="29" t="s">
        <v>385</v>
      </c>
      <c r="E48" s="29" t="s">
        <v>385</v>
      </c>
      <c r="F48" s="29" t="s">
        <v>385</v>
      </c>
      <c r="G48" s="29" t="s">
        <v>385</v>
      </c>
      <c r="J48" s="3" t="s">
        <v>25</v>
      </c>
      <c r="K48" s="3" t="s">
        <v>409</v>
      </c>
      <c r="L48" s="3" t="s">
        <v>111</v>
      </c>
      <c r="M48" s="3" t="s">
        <v>112</v>
      </c>
      <c r="N48" s="3" t="s">
        <v>10</v>
      </c>
      <c r="O48" s="3" t="s">
        <v>127</v>
      </c>
    </row>
    <row r="49" spans="2:15" x14ac:dyDescent="0.25">
      <c r="B49" s="29" t="s">
        <v>386</v>
      </c>
      <c r="C49" s="29" t="s">
        <v>386</v>
      </c>
      <c r="D49" s="29" t="s">
        <v>386</v>
      </c>
      <c r="E49" s="29" t="s">
        <v>386</v>
      </c>
      <c r="F49" s="29" t="s">
        <v>386</v>
      </c>
      <c r="G49" s="29" t="s">
        <v>386</v>
      </c>
      <c r="J49" s="3" t="s">
        <v>152</v>
      </c>
      <c r="K49" s="3" t="s">
        <v>410</v>
      </c>
      <c r="L49" s="3" t="s">
        <v>112</v>
      </c>
      <c r="M49" s="3" t="s">
        <v>106</v>
      </c>
      <c r="N49" s="3" t="s">
        <v>75</v>
      </c>
      <c r="O49" s="3" t="s">
        <v>128</v>
      </c>
    </row>
    <row r="50" spans="2:15" x14ac:dyDescent="0.25">
      <c r="J50" s="3" t="s">
        <v>110</v>
      </c>
      <c r="K50" s="3" t="s">
        <v>411</v>
      </c>
      <c r="L50" s="29" t="s">
        <v>401</v>
      </c>
      <c r="M50" s="29" t="s">
        <v>401</v>
      </c>
      <c r="N50" s="29" t="s">
        <v>401</v>
      </c>
      <c r="O50" s="29" t="s">
        <v>385</v>
      </c>
    </row>
    <row r="51" spans="2:15" x14ac:dyDescent="0.25">
      <c r="J51" s="3" t="s">
        <v>153</v>
      </c>
      <c r="K51" s="29" t="s">
        <v>401</v>
      </c>
      <c r="L51" s="29" t="s">
        <v>266</v>
      </c>
      <c r="M51" s="29" t="s">
        <v>266</v>
      </c>
      <c r="N51" s="29" t="s">
        <v>266</v>
      </c>
      <c r="O51" s="29" t="s">
        <v>386</v>
      </c>
    </row>
    <row r="52" spans="2:15" x14ac:dyDescent="0.25">
      <c r="J52" s="3" t="s">
        <v>400</v>
      </c>
      <c r="K52" s="29" t="s">
        <v>266</v>
      </c>
      <c r="L52" s="29" t="s">
        <v>385</v>
      </c>
      <c r="M52" s="29" t="s">
        <v>385</v>
      </c>
      <c r="N52" s="29" t="s">
        <v>385</v>
      </c>
    </row>
    <row r="53" spans="2:15" x14ac:dyDescent="0.25">
      <c r="J53" s="29" t="s">
        <v>401</v>
      </c>
      <c r="K53" s="29" t="s">
        <v>385</v>
      </c>
      <c r="L53" s="29" t="s">
        <v>386</v>
      </c>
      <c r="M53" s="29" t="s">
        <v>386</v>
      </c>
      <c r="N53" s="29" t="s">
        <v>386</v>
      </c>
    </row>
    <row r="54" spans="2:15" x14ac:dyDescent="0.25">
      <c r="J54" s="29" t="s">
        <v>266</v>
      </c>
      <c r="K54" s="29" t="s">
        <v>386</v>
      </c>
    </row>
    <row r="55" spans="2:15" x14ac:dyDescent="0.25">
      <c r="J55" s="29" t="s">
        <v>385</v>
      </c>
      <c r="K55" s="71"/>
    </row>
    <row r="56" spans="2:15" x14ac:dyDescent="0.25">
      <c r="J56" s="29" t="s">
        <v>386</v>
      </c>
      <c r="K56" s="71"/>
    </row>
    <row r="59" spans="2:15" ht="31.5" x14ac:dyDescent="0.25">
      <c r="B59" s="66" t="s">
        <v>414</v>
      </c>
      <c r="F59" s="66" t="s">
        <v>424</v>
      </c>
    </row>
    <row r="60" spans="2:15" x14ac:dyDescent="0.25">
      <c r="B60" s="1" t="s">
        <v>415</v>
      </c>
    </row>
    <row r="61" spans="2:15" x14ac:dyDescent="0.25">
      <c r="B61" s="1" t="s">
        <v>423</v>
      </c>
      <c r="F61" s="1" t="s">
        <v>425</v>
      </c>
    </row>
    <row r="62" spans="2:15" x14ac:dyDescent="0.25">
      <c r="B62" s="58" t="s">
        <v>416</v>
      </c>
      <c r="F62" s="58" t="s">
        <v>426</v>
      </c>
    </row>
    <row r="63" spans="2:15" x14ac:dyDescent="0.25">
      <c r="B63" s="2" t="s">
        <v>417</v>
      </c>
      <c r="C63" s="1"/>
      <c r="D63" s="1"/>
      <c r="E63" s="1"/>
      <c r="F63" s="2" t="s">
        <v>427</v>
      </c>
    </row>
    <row r="64" spans="2:15" x14ac:dyDescent="0.25">
      <c r="B64" s="2" t="s">
        <v>418</v>
      </c>
      <c r="C64" s="1"/>
      <c r="D64" s="1"/>
      <c r="E64" s="1"/>
      <c r="F64" s="2" t="s">
        <v>311</v>
      </c>
    </row>
    <row r="65" spans="2:6" x14ac:dyDescent="0.25">
      <c r="B65" s="2" t="s">
        <v>419</v>
      </c>
      <c r="C65" s="1"/>
      <c r="D65" s="1"/>
      <c r="E65" s="1"/>
      <c r="F65" s="2" t="s">
        <v>200</v>
      </c>
    </row>
    <row r="66" spans="2:6" x14ac:dyDescent="0.25">
      <c r="B66" s="2" t="s">
        <v>420</v>
      </c>
      <c r="C66" s="1"/>
      <c r="D66" s="1"/>
      <c r="E66" s="1"/>
      <c r="F66" s="2" t="s">
        <v>323</v>
      </c>
    </row>
    <row r="67" spans="2:6" x14ac:dyDescent="0.25">
      <c r="B67" s="2" t="s">
        <v>421</v>
      </c>
      <c r="C67" s="1"/>
      <c r="D67" s="1"/>
      <c r="E67" s="1"/>
      <c r="F67" s="2" t="s">
        <v>121</v>
      </c>
    </row>
    <row r="68" spans="2:6" x14ac:dyDescent="0.25">
      <c r="B68" s="2" t="s">
        <v>261</v>
      </c>
      <c r="C68" s="1"/>
      <c r="D68" s="1"/>
      <c r="E68" s="1"/>
      <c r="F68" s="29" t="s">
        <v>385</v>
      </c>
    </row>
    <row r="69" spans="2:6" x14ac:dyDescent="0.25">
      <c r="B69" s="2" t="s">
        <v>422</v>
      </c>
      <c r="C69" s="1"/>
      <c r="D69" s="1"/>
      <c r="E69" s="1"/>
      <c r="F69" s="29" t="s">
        <v>386</v>
      </c>
    </row>
    <row r="70" spans="2:6" x14ac:dyDescent="0.25">
      <c r="B70" s="29" t="s">
        <v>385</v>
      </c>
      <c r="C70" s="70"/>
      <c r="D70" s="70"/>
      <c r="E70" s="70"/>
    </row>
    <row r="71" spans="2:6" x14ac:dyDescent="0.25">
      <c r="B71" s="29" t="s">
        <v>386</v>
      </c>
      <c r="C71" s="70"/>
      <c r="D71" s="70"/>
      <c r="E71" s="70"/>
    </row>
  </sheetData>
  <mergeCells count="10">
    <mergeCell ref="B24:Q24"/>
    <mergeCell ref="B25:Q25"/>
    <mergeCell ref="B23:Q23"/>
    <mergeCell ref="B38:F38"/>
    <mergeCell ref="B33:D33"/>
    <mergeCell ref="B34:D34"/>
    <mergeCell ref="E33:H33"/>
    <mergeCell ref="E34:H34"/>
    <mergeCell ref="E35:H35"/>
    <mergeCell ref="B35:D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3CAB-55CE-4CC4-BE8E-D401113D5E34}">
  <dimension ref="A1:M57"/>
  <sheetViews>
    <sheetView showGridLines="0" tabSelected="1" zoomScaleNormal="100" workbookViewId="0">
      <selection activeCell="J34" sqref="J34"/>
    </sheetView>
  </sheetViews>
  <sheetFormatPr defaultRowHeight="15" x14ac:dyDescent="0.25"/>
  <cols>
    <col min="2" max="2" width="22.28515625" customWidth="1"/>
    <col min="3" max="3" width="18.5703125" bestFit="1" customWidth="1"/>
    <col min="4" max="4" width="1.140625" customWidth="1"/>
    <col min="5" max="5" width="18.42578125" customWidth="1"/>
    <col min="6" max="7" width="19" bestFit="1" customWidth="1"/>
    <col min="8" max="8" width="19.28515625" customWidth="1"/>
    <col min="9" max="9" width="19" customWidth="1"/>
    <col min="10" max="10" width="19.42578125" customWidth="1"/>
    <col min="11" max="11" width="21.7109375" bestFit="1" customWidth="1"/>
    <col min="13" max="13" width="21.5703125" bestFit="1" customWidth="1"/>
  </cols>
  <sheetData>
    <row r="1" spans="1:12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x14ac:dyDescent="0.25">
      <c r="A3" s="25"/>
      <c r="B3" s="25"/>
      <c r="C3" s="25"/>
      <c r="D3" s="25"/>
      <c r="E3" s="25"/>
      <c r="F3" s="58" t="s">
        <v>383</v>
      </c>
      <c r="G3" s="25"/>
      <c r="H3" s="25"/>
      <c r="I3" s="25"/>
      <c r="J3" s="25"/>
      <c r="K3" s="25"/>
      <c r="L3" s="25"/>
    </row>
    <row r="4" spans="1:12" x14ac:dyDescent="0.25">
      <c r="A4" s="25"/>
      <c r="B4" s="25"/>
      <c r="C4" s="25"/>
      <c r="D4" s="25"/>
      <c r="E4" s="25"/>
      <c r="F4" s="68" t="s">
        <v>384</v>
      </c>
      <c r="G4" s="25"/>
      <c r="H4" s="25"/>
      <c r="I4" s="25"/>
      <c r="J4" s="25"/>
      <c r="K4" s="25"/>
      <c r="L4" s="25"/>
    </row>
    <row r="5" spans="1:12" x14ac:dyDescent="0.25">
      <c r="A5" s="25"/>
      <c r="B5" s="25"/>
      <c r="C5" s="25"/>
      <c r="D5" s="25"/>
      <c r="E5" s="25"/>
      <c r="F5" s="2" t="s">
        <v>124</v>
      </c>
      <c r="G5" s="25"/>
      <c r="H5" s="25"/>
      <c r="I5" s="25"/>
      <c r="J5" s="25"/>
      <c r="K5" s="25"/>
      <c r="L5" s="25"/>
    </row>
    <row r="6" spans="1:12" x14ac:dyDescent="0.25">
      <c r="A6" s="25"/>
      <c r="B6" s="25"/>
      <c r="C6" s="25"/>
      <c r="D6" s="25"/>
      <c r="E6" s="25"/>
      <c r="F6" s="29" t="s">
        <v>385</v>
      </c>
      <c r="G6" s="25"/>
      <c r="H6" s="25"/>
      <c r="I6" s="25"/>
      <c r="J6" s="25"/>
      <c r="K6" s="25"/>
      <c r="L6" s="25"/>
    </row>
    <row r="7" spans="1:12" x14ac:dyDescent="0.25">
      <c r="A7" s="25"/>
      <c r="B7" s="25"/>
      <c r="C7" s="25"/>
      <c r="D7" s="25"/>
      <c r="E7" s="25"/>
      <c r="F7" s="29" t="s">
        <v>386</v>
      </c>
      <c r="G7" s="25"/>
      <c r="H7" s="25"/>
      <c r="I7" s="25"/>
      <c r="J7" s="25"/>
      <c r="K7" s="25"/>
      <c r="L7" s="25"/>
    </row>
    <row r="8" spans="1:12" x14ac:dyDescent="0.2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2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2" x14ac:dyDescent="0.25">
      <c r="A10" s="25"/>
      <c r="B10" s="25"/>
      <c r="C10" s="25"/>
      <c r="D10" s="25"/>
      <c r="E10" s="25"/>
      <c r="F10" s="58" t="s">
        <v>405</v>
      </c>
      <c r="G10" s="25"/>
      <c r="H10" s="25"/>
      <c r="I10" s="25"/>
      <c r="J10" s="25"/>
      <c r="K10" s="25"/>
      <c r="L10" s="25"/>
    </row>
    <row r="11" spans="1:12" x14ac:dyDescent="0.25">
      <c r="A11" s="25"/>
      <c r="B11" s="25"/>
      <c r="C11" s="25"/>
      <c r="D11" s="25"/>
      <c r="E11" s="25"/>
      <c r="F11" s="68" t="s">
        <v>114</v>
      </c>
      <c r="G11" s="25"/>
      <c r="H11" s="25"/>
      <c r="I11" s="25"/>
      <c r="J11" s="25"/>
      <c r="K11" s="25"/>
      <c r="L11" s="25"/>
    </row>
    <row r="12" spans="1:12" x14ac:dyDescent="0.25">
      <c r="A12" s="25"/>
      <c r="B12" s="25"/>
      <c r="C12" s="25"/>
      <c r="D12" s="25"/>
      <c r="E12" s="25"/>
      <c r="F12" s="3" t="s">
        <v>126</v>
      </c>
      <c r="G12" s="25"/>
      <c r="H12" s="25"/>
      <c r="I12" s="25"/>
      <c r="J12" s="25"/>
      <c r="K12" s="25"/>
      <c r="L12" s="25"/>
    </row>
    <row r="13" spans="1:12" x14ac:dyDescent="0.25">
      <c r="A13" s="25"/>
      <c r="B13" s="25"/>
      <c r="C13" s="25"/>
      <c r="D13" s="25"/>
      <c r="E13" s="25"/>
      <c r="F13" s="3" t="s">
        <v>127</v>
      </c>
      <c r="G13" s="25"/>
      <c r="H13" s="25"/>
      <c r="I13" s="25"/>
      <c r="J13" s="25"/>
      <c r="K13" s="25"/>
      <c r="L13" s="25"/>
    </row>
    <row r="14" spans="1:12" x14ac:dyDescent="0.25">
      <c r="A14" s="25"/>
      <c r="B14" s="25"/>
      <c r="C14" s="25"/>
      <c r="D14" s="25"/>
      <c r="E14" s="25"/>
      <c r="F14" s="3" t="s">
        <v>128</v>
      </c>
      <c r="G14" s="25"/>
      <c r="H14" s="25"/>
      <c r="I14" s="25"/>
      <c r="J14" s="25"/>
      <c r="K14" s="25"/>
      <c r="L14" s="25"/>
    </row>
    <row r="15" spans="1:12" x14ac:dyDescent="0.25">
      <c r="A15" s="25"/>
      <c r="B15" s="25"/>
      <c r="C15" s="25"/>
      <c r="D15" s="25"/>
      <c r="E15" s="25"/>
      <c r="F15" s="29" t="s">
        <v>385</v>
      </c>
      <c r="G15" s="25"/>
      <c r="H15" s="25"/>
      <c r="I15" s="25"/>
      <c r="J15" s="25"/>
      <c r="K15" s="25"/>
      <c r="L15" s="25"/>
    </row>
    <row r="16" spans="1:12" x14ac:dyDescent="0.25">
      <c r="A16" s="25"/>
      <c r="B16" s="25"/>
      <c r="C16" s="25"/>
      <c r="D16" s="25"/>
      <c r="E16" s="25"/>
      <c r="F16" s="29" t="s">
        <v>386</v>
      </c>
      <c r="G16" s="25"/>
      <c r="H16" s="25"/>
      <c r="I16" s="25"/>
      <c r="J16" s="25"/>
      <c r="K16" s="25"/>
      <c r="L16" s="25"/>
    </row>
    <row r="17" spans="1:12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</row>
    <row r="18" spans="1:12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</row>
    <row r="19" spans="1:12" x14ac:dyDescent="0.25">
      <c r="A19" s="25"/>
      <c r="B19" s="58" t="s">
        <v>387</v>
      </c>
      <c r="C19" s="25"/>
      <c r="D19" s="25"/>
      <c r="E19" s="25"/>
      <c r="F19" s="58" t="s">
        <v>416</v>
      </c>
      <c r="G19" s="25"/>
      <c r="H19" s="58" t="s">
        <v>390</v>
      </c>
      <c r="I19" s="25"/>
      <c r="J19" s="58" t="s">
        <v>403</v>
      </c>
      <c r="K19" s="25"/>
      <c r="L19" s="25"/>
    </row>
    <row r="20" spans="1:12" x14ac:dyDescent="0.25">
      <c r="A20" s="25"/>
      <c r="B20" s="68" t="s">
        <v>388</v>
      </c>
      <c r="C20" s="25"/>
      <c r="D20" s="25"/>
      <c r="E20" s="25"/>
      <c r="F20" s="68" t="s">
        <v>417</v>
      </c>
      <c r="G20" s="25"/>
      <c r="H20" s="68" t="s">
        <v>391</v>
      </c>
      <c r="I20" s="25"/>
      <c r="J20" s="68" t="s">
        <v>404</v>
      </c>
      <c r="K20" s="25"/>
      <c r="L20" s="25"/>
    </row>
    <row r="21" spans="1:12" x14ac:dyDescent="0.25">
      <c r="A21" s="25"/>
      <c r="B21" s="2" t="s">
        <v>150</v>
      </c>
      <c r="C21" s="25"/>
      <c r="D21" s="25"/>
      <c r="E21" s="25"/>
      <c r="F21" s="2" t="s">
        <v>418</v>
      </c>
      <c r="G21" s="25"/>
      <c r="H21" s="2" t="s">
        <v>184</v>
      </c>
      <c r="I21" s="25"/>
      <c r="J21" s="3" t="s">
        <v>186</v>
      </c>
      <c r="K21" s="25"/>
      <c r="L21" s="25"/>
    </row>
    <row r="22" spans="1:12" x14ac:dyDescent="0.25">
      <c r="A22" s="25"/>
      <c r="B22" s="29" t="s">
        <v>385</v>
      </c>
      <c r="C22" s="25"/>
      <c r="D22" s="25"/>
      <c r="E22" s="25"/>
      <c r="F22" s="2" t="s">
        <v>419</v>
      </c>
      <c r="G22" s="25"/>
      <c r="H22" s="29" t="s">
        <v>385</v>
      </c>
      <c r="I22" s="25"/>
      <c r="J22" s="3" t="s">
        <v>112</v>
      </c>
      <c r="K22" s="25"/>
      <c r="L22" s="25"/>
    </row>
    <row r="23" spans="1:12" x14ac:dyDescent="0.25">
      <c r="A23" s="25"/>
      <c r="B23" s="29" t="s">
        <v>386</v>
      </c>
      <c r="C23" s="25"/>
      <c r="D23" s="25"/>
      <c r="E23" s="25"/>
      <c r="F23" s="2" t="s">
        <v>420</v>
      </c>
      <c r="G23" s="25"/>
      <c r="H23" s="29" t="s">
        <v>386</v>
      </c>
      <c r="I23" s="25"/>
      <c r="J23" s="3" t="s">
        <v>106</v>
      </c>
      <c r="K23" s="25"/>
      <c r="L23" s="25"/>
    </row>
    <row r="24" spans="1:12" x14ac:dyDescent="0.25">
      <c r="A24" s="25"/>
      <c r="B24" s="25"/>
      <c r="C24" s="25"/>
      <c r="D24" s="25"/>
      <c r="E24" s="25"/>
      <c r="F24" s="2" t="s">
        <v>421</v>
      </c>
      <c r="G24" s="25"/>
      <c r="H24" s="25"/>
      <c r="I24" s="25"/>
      <c r="J24" s="29" t="s">
        <v>401</v>
      </c>
      <c r="K24" s="25"/>
      <c r="L24" s="25"/>
    </row>
    <row r="25" spans="1:12" x14ac:dyDescent="0.25">
      <c r="A25" s="25"/>
      <c r="B25" s="25"/>
      <c r="C25" s="25"/>
      <c r="D25" s="25"/>
      <c r="E25" s="25"/>
      <c r="F25" s="2" t="s">
        <v>261</v>
      </c>
      <c r="G25" s="25"/>
      <c r="I25" s="25"/>
      <c r="J25" s="29" t="s">
        <v>266</v>
      </c>
      <c r="K25" s="25"/>
      <c r="L25" s="25"/>
    </row>
    <row r="26" spans="1:12" x14ac:dyDescent="0.25">
      <c r="A26" s="25"/>
      <c r="B26" s="25"/>
      <c r="C26" s="25"/>
      <c r="D26" s="25"/>
      <c r="E26" s="25"/>
      <c r="F26" s="2" t="s">
        <v>422</v>
      </c>
      <c r="G26" s="25"/>
      <c r="I26" s="25"/>
      <c r="J26" s="29" t="s">
        <v>385</v>
      </c>
      <c r="K26" s="25"/>
      <c r="L26" s="25"/>
    </row>
    <row r="27" spans="1:12" x14ac:dyDescent="0.25">
      <c r="A27" s="25"/>
      <c r="B27" s="58" t="s">
        <v>399</v>
      </c>
      <c r="C27" s="25"/>
      <c r="D27" s="25"/>
      <c r="E27" s="25"/>
      <c r="F27" s="29" t="s">
        <v>385</v>
      </c>
      <c r="G27" s="25"/>
      <c r="I27" s="25"/>
      <c r="J27" s="29" t="s">
        <v>386</v>
      </c>
      <c r="K27" s="25"/>
      <c r="L27" s="25"/>
    </row>
    <row r="28" spans="1:12" x14ac:dyDescent="0.25">
      <c r="A28" s="25"/>
      <c r="B28" s="68" t="s">
        <v>115</v>
      </c>
      <c r="C28" s="25"/>
      <c r="D28" s="25"/>
      <c r="E28" s="25"/>
      <c r="F28" s="29" t="s">
        <v>386</v>
      </c>
      <c r="G28" s="25"/>
      <c r="H28" s="25"/>
      <c r="I28" s="25"/>
      <c r="K28" s="25"/>
      <c r="L28" s="25"/>
    </row>
    <row r="29" spans="1:12" x14ac:dyDescent="0.25">
      <c r="A29" s="25"/>
      <c r="B29" s="3" t="s">
        <v>151</v>
      </c>
      <c r="C29" s="25"/>
      <c r="D29" s="25"/>
      <c r="E29" s="25"/>
      <c r="F29" s="25"/>
      <c r="G29" s="25"/>
      <c r="H29" s="25"/>
      <c r="I29" s="25"/>
      <c r="K29" s="25"/>
      <c r="L29" s="25"/>
    </row>
    <row r="30" spans="1:12" x14ac:dyDescent="0.25">
      <c r="A30" s="25"/>
      <c r="B30" s="3" t="s">
        <v>25</v>
      </c>
      <c r="C30" s="25"/>
      <c r="D30" s="25"/>
      <c r="E30" s="25"/>
      <c r="F30" s="25"/>
      <c r="G30" s="25"/>
      <c r="H30" s="25"/>
      <c r="I30" s="25"/>
      <c r="K30" s="25"/>
      <c r="L30" s="25"/>
    </row>
    <row r="31" spans="1:12" x14ac:dyDescent="0.25">
      <c r="A31" s="25"/>
      <c r="B31" s="3" t="s">
        <v>152</v>
      </c>
      <c r="C31" s="25"/>
      <c r="D31" s="25"/>
      <c r="E31" s="25"/>
      <c r="F31" s="58" t="s">
        <v>426</v>
      </c>
      <c r="G31" s="25"/>
      <c r="H31" s="25"/>
      <c r="I31" s="25"/>
      <c r="K31" s="25"/>
      <c r="L31" s="25"/>
    </row>
    <row r="32" spans="1:12" x14ac:dyDescent="0.25">
      <c r="A32" s="25"/>
      <c r="B32" s="3" t="s">
        <v>110</v>
      </c>
      <c r="C32" s="25"/>
      <c r="D32" s="25"/>
      <c r="E32" s="25"/>
      <c r="F32" s="2" t="s">
        <v>427</v>
      </c>
      <c r="G32" s="25"/>
      <c r="H32" s="25"/>
      <c r="I32" s="25"/>
      <c r="K32" s="25"/>
      <c r="L32" s="25"/>
    </row>
    <row r="33" spans="1:13" x14ac:dyDescent="0.25">
      <c r="A33" s="25"/>
      <c r="B33" s="3" t="s">
        <v>153</v>
      </c>
      <c r="C33" s="25"/>
      <c r="D33" s="25"/>
      <c r="E33" s="25"/>
      <c r="F33" s="2" t="s">
        <v>311</v>
      </c>
      <c r="G33" s="25"/>
      <c r="H33" s="25"/>
      <c r="I33" s="25"/>
      <c r="K33" s="25"/>
      <c r="L33" s="25"/>
    </row>
    <row r="34" spans="1:13" x14ac:dyDescent="0.25">
      <c r="A34" s="25"/>
      <c r="B34" s="3" t="s">
        <v>400</v>
      </c>
      <c r="C34" s="25"/>
      <c r="D34" s="25"/>
      <c r="E34" s="25"/>
      <c r="F34" s="2" t="s">
        <v>200</v>
      </c>
      <c r="G34" s="25"/>
      <c r="H34" s="25"/>
      <c r="I34" s="25"/>
      <c r="K34" s="25"/>
      <c r="L34" s="25"/>
    </row>
    <row r="35" spans="1:13" x14ac:dyDescent="0.25">
      <c r="A35" s="25"/>
      <c r="B35" s="29" t="s">
        <v>401</v>
      </c>
      <c r="C35" s="25"/>
      <c r="D35" s="25"/>
      <c r="E35" s="25"/>
      <c r="F35" s="2" t="s">
        <v>323</v>
      </c>
      <c r="G35" s="25"/>
      <c r="H35" s="25"/>
      <c r="I35" s="25"/>
      <c r="K35" s="25"/>
      <c r="L35" s="25"/>
    </row>
    <row r="36" spans="1:13" x14ac:dyDescent="0.25">
      <c r="A36" s="25"/>
      <c r="B36" s="29" t="s">
        <v>266</v>
      </c>
      <c r="C36" s="25"/>
      <c r="D36" s="25"/>
      <c r="E36" s="25"/>
      <c r="F36" s="2" t="s">
        <v>121</v>
      </c>
      <c r="G36" s="25"/>
      <c r="H36" s="25"/>
      <c r="I36" s="25"/>
      <c r="K36" s="25"/>
      <c r="L36" s="25"/>
    </row>
    <row r="37" spans="1:13" x14ac:dyDescent="0.25">
      <c r="A37" s="25"/>
      <c r="B37" s="29" t="s">
        <v>385</v>
      </c>
      <c r="C37" s="25"/>
      <c r="D37" s="25"/>
      <c r="E37" s="25"/>
      <c r="F37" s="29" t="s">
        <v>385</v>
      </c>
      <c r="G37" s="25"/>
      <c r="H37" s="25"/>
      <c r="I37" s="25"/>
      <c r="K37" s="25"/>
      <c r="L37" s="25"/>
    </row>
    <row r="38" spans="1:13" x14ac:dyDescent="0.25">
      <c r="A38" s="25"/>
      <c r="B38" s="29" t="s">
        <v>386</v>
      </c>
      <c r="C38" s="25"/>
      <c r="D38" s="25"/>
      <c r="E38" s="25"/>
      <c r="F38" s="29" t="s">
        <v>386</v>
      </c>
      <c r="G38" s="25"/>
      <c r="H38" s="25"/>
      <c r="I38" s="25"/>
      <c r="J38" s="25"/>
      <c r="K38" s="25"/>
      <c r="L38" s="25"/>
    </row>
    <row r="39" spans="1:13" x14ac:dyDescent="0.25">
      <c r="A39" s="25"/>
      <c r="C39" s="25"/>
      <c r="D39" s="25"/>
      <c r="E39" s="25"/>
      <c r="F39" s="25"/>
      <c r="G39" s="25"/>
      <c r="H39" s="25"/>
      <c r="I39" s="25"/>
      <c r="J39" s="25"/>
      <c r="K39" s="25"/>
      <c r="L39" s="25"/>
    </row>
    <row r="40" spans="1:13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</row>
    <row r="41" spans="1:13" x14ac:dyDescent="0.25">
      <c r="A41" s="25"/>
      <c r="C41" s="58" t="s">
        <v>389</v>
      </c>
      <c r="D41" s="25"/>
      <c r="E41" s="25"/>
      <c r="F41" s="25"/>
      <c r="G41" s="58" t="s">
        <v>392</v>
      </c>
      <c r="H41" s="25"/>
      <c r="I41" s="25"/>
      <c r="J41" s="25"/>
      <c r="K41" s="58" t="s">
        <v>394</v>
      </c>
      <c r="L41" s="25"/>
    </row>
    <row r="42" spans="1:13" x14ac:dyDescent="0.25">
      <c r="A42" s="25"/>
      <c r="C42" s="68" t="s">
        <v>107</v>
      </c>
      <c r="D42" s="25"/>
      <c r="E42" s="25"/>
      <c r="F42" s="25"/>
      <c r="G42" s="68" t="s">
        <v>243</v>
      </c>
      <c r="H42" s="25"/>
      <c r="I42" s="25"/>
      <c r="J42" s="25"/>
      <c r="K42" s="68" t="s">
        <v>129</v>
      </c>
      <c r="L42" s="25"/>
    </row>
    <row r="43" spans="1:13" x14ac:dyDescent="0.25">
      <c r="A43" s="25"/>
      <c r="C43" s="2" t="s">
        <v>108</v>
      </c>
      <c r="D43" s="25"/>
      <c r="E43" s="25"/>
      <c r="F43" s="25"/>
      <c r="G43" s="2" t="s">
        <v>393</v>
      </c>
      <c r="H43" s="25"/>
      <c r="I43" s="25"/>
      <c r="J43" s="25"/>
      <c r="K43" s="2" t="s">
        <v>164</v>
      </c>
      <c r="L43" s="25"/>
    </row>
    <row r="44" spans="1:13" x14ac:dyDescent="0.25">
      <c r="A44" s="25"/>
      <c r="C44" s="29" t="s">
        <v>385</v>
      </c>
      <c r="D44" s="25"/>
      <c r="E44" s="58" t="s">
        <v>402</v>
      </c>
      <c r="G44" s="29" t="s">
        <v>385</v>
      </c>
      <c r="H44" s="25"/>
      <c r="I44" s="58" t="s">
        <v>406</v>
      </c>
      <c r="J44" s="25"/>
      <c r="K44" s="29" t="s">
        <v>385</v>
      </c>
      <c r="L44" s="25"/>
      <c r="M44" s="58" t="s">
        <v>412</v>
      </c>
    </row>
    <row r="45" spans="1:13" x14ac:dyDescent="0.25">
      <c r="A45" s="25"/>
      <c r="C45" s="29" t="s">
        <v>386</v>
      </c>
      <c r="D45" s="25"/>
      <c r="E45" s="68" t="s">
        <v>117</v>
      </c>
      <c r="G45" s="29" t="s">
        <v>386</v>
      </c>
      <c r="H45" s="25"/>
      <c r="I45" s="68" t="s">
        <v>407</v>
      </c>
      <c r="J45" s="25"/>
      <c r="K45" s="29" t="s">
        <v>386</v>
      </c>
      <c r="L45" s="25"/>
      <c r="M45" s="68" t="s">
        <v>118</v>
      </c>
    </row>
    <row r="46" spans="1:13" x14ac:dyDescent="0.25">
      <c r="A46" s="25"/>
      <c r="B46" s="25"/>
      <c r="C46" s="25"/>
      <c r="D46" s="25"/>
      <c r="E46" s="3" t="s">
        <v>110</v>
      </c>
      <c r="H46" s="25"/>
      <c r="I46" s="3" t="s">
        <v>408</v>
      </c>
      <c r="J46" s="25"/>
      <c r="L46" s="25"/>
      <c r="M46" s="3" t="s">
        <v>413</v>
      </c>
    </row>
    <row r="47" spans="1:13" x14ac:dyDescent="0.25">
      <c r="A47" s="25"/>
      <c r="B47" s="25"/>
      <c r="C47" s="25"/>
      <c r="D47" s="25"/>
      <c r="E47" s="3" t="s">
        <v>111</v>
      </c>
      <c r="H47" s="25"/>
      <c r="I47" s="3" t="s">
        <v>409</v>
      </c>
      <c r="J47" s="25"/>
      <c r="L47" s="25"/>
      <c r="M47" s="3" t="s">
        <v>10</v>
      </c>
    </row>
    <row r="48" spans="1:13" x14ac:dyDescent="0.25">
      <c r="A48" s="25"/>
      <c r="B48" s="25"/>
      <c r="C48" s="25"/>
      <c r="D48" s="25"/>
      <c r="E48" s="3" t="s">
        <v>112</v>
      </c>
      <c r="H48" s="25"/>
      <c r="I48" s="3" t="s">
        <v>410</v>
      </c>
      <c r="J48" s="25"/>
      <c r="L48" s="25"/>
      <c r="M48" s="3" t="s">
        <v>75</v>
      </c>
    </row>
    <row r="49" spans="1:13" x14ac:dyDescent="0.25">
      <c r="A49" s="25"/>
      <c r="B49" s="25"/>
      <c r="C49" s="25"/>
      <c r="D49" s="25"/>
      <c r="E49" s="29" t="s">
        <v>401</v>
      </c>
      <c r="G49" s="25"/>
      <c r="H49" s="25"/>
      <c r="I49" s="3" t="s">
        <v>411</v>
      </c>
      <c r="J49" s="25"/>
      <c r="K49" s="25"/>
      <c r="L49" s="25"/>
      <c r="M49" s="29" t="s">
        <v>401</v>
      </c>
    </row>
    <row r="50" spans="1:13" x14ac:dyDescent="0.25">
      <c r="A50" s="25"/>
      <c r="B50" s="25"/>
      <c r="C50" s="25"/>
      <c r="D50" s="25"/>
      <c r="E50" s="29" t="s">
        <v>266</v>
      </c>
      <c r="G50" s="25"/>
      <c r="H50" s="25"/>
      <c r="I50" s="29" t="s">
        <v>401</v>
      </c>
      <c r="J50" s="25"/>
      <c r="K50" s="25"/>
      <c r="L50" s="25"/>
      <c r="M50" s="29" t="s">
        <v>266</v>
      </c>
    </row>
    <row r="51" spans="1:13" x14ac:dyDescent="0.25">
      <c r="A51" s="25"/>
      <c r="B51" s="25"/>
      <c r="C51" s="25"/>
      <c r="D51" s="25"/>
      <c r="E51" s="29" t="s">
        <v>385</v>
      </c>
      <c r="G51" s="25"/>
      <c r="H51" s="25"/>
      <c r="I51" s="29" t="s">
        <v>266</v>
      </c>
      <c r="J51" s="25"/>
      <c r="K51" s="25"/>
      <c r="L51" s="25"/>
      <c r="M51" s="29" t="s">
        <v>385</v>
      </c>
    </row>
    <row r="52" spans="1:13" x14ac:dyDescent="0.25">
      <c r="A52" s="25"/>
      <c r="B52" s="25"/>
      <c r="C52" s="25"/>
      <c r="D52" s="25"/>
      <c r="E52" s="29" t="s">
        <v>386</v>
      </c>
      <c r="G52" s="25"/>
      <c r="H52" s="25"/>
      <c r="I52" s="29" t="s">
        <v>385</v>
      </c>
      <c r="J52" s="25"/>
      <c r="K52" s="25"/>
      <c r="L52" s="25"/>
      <c r="M52" s="29" t="s">
        <v>386</v>
      </c>
    </row>
    <row r="53" spans="1:13" x14ac:dyDescent="0.25">
      <c r="A53" s="25"/>
      <c r="B53" s="25"/>
      <c r="C53" s="25"/>
      <c r="D53" s="25"/>
      <c r="E53" s="25"/>
      <c r="F53" s="25"/>
      <c r="G53" s="25"/>
      <c r="H53" s="25"/>
      <c r="I53" s="29" t="s">
        <v>386</v>
      </c>
      <c r="J53" s="25"/>
      <c r="K53" s="25"/>
      <c r="L53" s="25"/>
    </row>
    <row r="54" spans="1:13" x14ac:dyDescent="0.25">
      <c r="A54" s="25"/>
      <c r="B54" s="25"/>
      <c r="C54" s="25"/>
      <c r="D54" s="25"/>
    </row>
    <row r="55" spans="1:13" x14ac:dyDescent="0.25">
      <c r="A55" s="25"/>
      <c r="B55" s="25"/>
      <c r="C55" s="25"/>
      <c r="D55" s="25"/>
    </row>
    <row r="56" spans="1:13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</row>
    <row r="57" spans="1:13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E840-344B-4503-80C9-E6C61A691A41}">
  <dimension ref="B2:H27"/>
  <sheetViews>
    <sheetView showGridLines="0" workbookViewId="0">
      <selection activeCell="A38" sqref="A38"/>
    </sheetView>
  </sheetViews>
  <sheetFormatPr defaultRowHeight="15" x14ac:dyDescent="0.25"/>
  <cols>
    <col min="2" max="2" width="27.28515625" customWidth="1"/>
    <col min="3" max="3" width="42.28515625" customWidth="1"/>
    <col min="8" max="8" width="88.85546875" customWidth="1"/>
  </cols>
  <sheetData>
    <row r="2" spans="2:8" x14ac:dyDescent="0.25">
      <c r="H2" s="103" t="s">
        <v>438</v>
      </c>
    </row>
    <row r="3" spans="2:8" ht="15.75" customHeight="1" x14ac:dyDescent="0.25">
      <c r="B3" s="102" t="s">
        <v>428</v>
      </c>
      <c r="C3" s="102"/>
      <c r="H3" s="103"/>
    </row>
    <row r="4" spans="2:8" ht="15.75" customHeight="1" x14ac:dyDescent="0.25">
      <c r="B4" s="69" t="s">
        <v>429</v>
      </c>
      <c r="C4" s="69" t="s">
        <v>430</v>
      </c>
      <c r="H4" s="103"/>
    </row>
    <row r="5" spans="2:8" ht="15" customHeight="1" x14ac:dyDescent="0.25">
      <c r="B5" s="16" t="s">
        <v>89</v>
      </c>
      <c r="C5" s="16" t="s">
        <v>431</v>
      </c>
      <c r="H5" s="103"/>
    </row>
    <row r="6" spans="2:8" ht="15" customHeight="1" x14ac:dyDescent="0.25">
      <c r="B6" s="16" t="s">
        <v>91</v>
      </c>
      <c r="C6" s="16" t="s">
        <v>432</v>
      </c>
      <c r="H6" s="103"/>
    </row>
    <row r="7" spans="2:8" ht="15" customHeight="1" x14ac:dyDescent="0.25">
      <c r="B7" s="16" t="s">
        <v>90</v>
      </c>
      <c r="C7" s="16" t="s">
        <v>433</v>
      </c>
      <c r="H7" s="103"/>
    </row>
    <row r="8" spans="2:8" ht="15" customHeight="1" x14ac:dyDescent="0.25">
      <c r="B8" s="16" t="s">
        <v>92</v>
      </c>
      <c r="C8" s="16" t="s">
        <v>434</v>
      </c>
      <c r="H8" s="103"/>
    </row>
    <row r="9" spans="2:8" ht="15" customHeight="1" x14ac:dyDescent="0.25">
      <c r="B9" s="16" t="s">
        <v>242</v>
      </c>
      <c r="C9" s="16" t="s">
        <v>435</v>
      </c>
      <c r="H9" s="103"/>
    </row>
    <row r="10" spans="2:8" ht="15" customHeight="1" x14ac:dyDescent="0.25">
      <c r="B10" s="16" t="s">
        <v>93</v>
      </c>
      <c r="C10" s="16" t="s">
        <v>436</v>
      </c>
      <c r="H10" s="103"/>
    </row>
    <row r="11" spans="2:8" ht="15" customHeight="1" x14ac:dyDescent="0.25">
      <c r="B11" s="16" t="s">
        <v>88</v>
      </c>
      <c r="C11" s="16" t="s">
        <v>437</v>
      </c>
      <c r="H11" s="103"/>
    </row>
    <row r="12" spans="2:8" ht="15" customHeight="1" x14ac:dyDescent="0.25">
      <c r="B12" s="16" t="s">
        <v>90</v>
      </c>
      <c r="C12" s="16" t="s">
        <v>433</v>
      </c>
      <c r="H12" s="103"/>
    </row>
    <row r="13" spans="2:8" ht="15" customHeight="1" x14ac:dyDescent="0.25">
      <c r="B13" s="16" t="s">
        <v>92</v>
      </c>
      <c r="C13" s="16" t="s">
        <v>434</v>
      </c>
      <c r="H13" s="103"/>
    </row>
    <row r="14" spans="2:8" ht="15" customHeight="1" x14ac:dyDescent="0.25">
      <c r="B14" s="16" t="s">
        <v>242</v>
      </c>
      <c r="C14" s="16" t="s">
        <v>435</v>
      </c>
      <c r="H14" s="103"/>
    </row>
    <row r="15" spans="2:8" ht="15" customHeight="1" x14ac:dyDescent="0.25">
      <c r="B15" s="16" t="s">
        <v>93</v>
      </c>
      <c r="C15" s="16" t="s">
        <v>436</v>
      </c>
      <c r="H15" s="103"/>
    </row>
    <row r="16" spans="2:8" ht="15" customHeight="1" x14ac:dyDescent="0.25">
      <c r="B16" s="16" t="s">
        <v>88</v>
      </c>
      <c r="C16" s="16" t="s">
        <v>437</v>
      </c>
      <c r="H16" s="103"/>
    </row>
    <row r="17" spans="8:8" ht="15" customHeight="1" x14ac:dyDescent="0.25">
      <c r="H17" s="103"/>
    </row>
    <row r="18" spans="8:8" ht="15" customHeight="1" x14ac:dyDescent="0.25">
      <c r="H18" s="103"/>
    </row>
    <row r="19" spans="8:8" ht="15" customHeight="1" x14ac:dyDescent="0.25">
      <c r="H19" s="103"/>
    </row>
    <row r="20" spans="8:8" ht="15" customHeight="1" x14ac:dyDescent="0.25">
      <c r="H20" s="103"/>
    </row>
    <row r="21" spans="8:8" ht="15" customHeight="1" x14ac:dyDescent="0.25">
      <c r="H21" s="103"/>
    </row>
    <row r="22" spans="8:8" ht="15" customHeight="1" x14ac:dyDescent="0.25">
      <c r="H22" s="103"/>
    </row>
    <row r="23" spans="8:8" ht="15" customHeight="1" x14ac:dyDescent="0.25">
      <c r="H23" s="103"/>
    </row>
    <row r="24" spans="8:8" ht="15" customHeight="1" x14ac:dyDescent="0.25">
      <c r="H24" s="103"/>
    </row>
    <row r="25" spans="8:8" ht="15" customHeight="1" x14ac:dyDescent="0.25">
      <c r="H25" s="103"/>
    </row>
    <row r="26" spans="8:8" ht="15" customHeight="1" x14ac:dyDescent="0.25">
      <c r="H26" s="103"/>
    </row>
    <row r="27" spans="8:8" ht="72" customHeight="1" x14ac:dyDescent="0.25">
      <c r="H27" s="103"/>
    </row>
  </sheetData>
  <mergeCells count="2">
    <mergeCell ref="B3:C3"/>
    <mergeCell ref="H2:H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86E30-B972-4E40-A90A-F2FED6E33342}">
  <dimension ref="B2:H83"/>
  <sheetViews>
    <sheetView showGridLines="0" topLeftCell="A7" workbookViewId="0">
      <selection activeCell="F73" sqref="F73"/>
    </sheetView>
  </sheetViews>
  <sheetFormatPr defaultColWidth="16.5703125" defaultRowHeight="15" x14ac:dyDescent="0.25"/>
  <cols>
    <col min="1" max="1" width="16.5703125" customWidth="1"/>
    <col min="2" max="2" width="26.7109375" customWidth="1"/>
    <col min="3" max="3" width="22.42578125" customWidth="1"/>
    <col min="4" max="4" width="37.42578125" customWidth="1"/>
    <col min="5" max="6" width="16.5703125" customWidth="1"/>
    <col min="7" max="7" width="20.85546875" customWidth="1"/>
  </cols>
  <sheetData>
    <row r="2" spans="2:7" x14ac:dyDescent="0.25">
      <c r="B2" s="33" t="s">
        <v>69</v>
      </c>
      <c r="F2" s="1"/>
    </row>
    <row r="3" spans="2:7" x14ac:dyDescent="0.25">
      <c r="B3" s="4" t="s">
        <v>161</v>
      </c>
      <c r="C3" s="4" t="s">
        <v>162</v>
      </c>
      <c r="D3" s="4" t="s">
        <v>163</v>
      </c>
    </row>
    <row r="4" spans="2:7" x14ac:dyDescent="0.25">
      <c r="B4" s="5" t="s">
        <v>164</v>
      </c>
      <c r="C4" s="5" t="s">
        <v>165</v>
      </c>
      <c r="D4" s="5" t="s">
        <v>166</v>
      </c>
    </row>
    <row r="5" spans="2:7" x14ac:dyDescent="0.25">
      <c r="B5" s="5" t="s">
        <v>130</v>
      </c>
      <c r="C5" s="5" t="s">
        <v>167</v>
      </c>
      <c r="D5" s="5" t="s">
        <v>168</v>
      </c>
    </row>
    <row r="6" spans="2:7" x14ac:dyDescent="0.25">
      <c r="B6" s="5" t="s">
        <v>131</v>
      </c>
      <c r="C6" s="5" t="s">
        <v>167</v>
      </c>
      <c r="D6" s="5" t="s">
        <v>169</v>
      </c>
    </row>
    <row r="7" spans="2:7" x14ac:dyDescent="0.25">
      <c r="B7" s="5" t="s">
        <v>112</v>
      </c>
      <c r="C7" s="5" t="s">
        <v>170</v>
      </c>
      <c r="D7" s="5" t="s">
        <v>12</v>
      </c>
    </row>
    <row r="8" spans="2:7" x14ac:dyDescent="0.25">
      <c r="B8" s="5" t="s">
        <v>10</v>
      </c>
      <c r="C8" s="5" t="s">
        <v>170</v>
      </c>
      <c r="D8" s="5" t="s">
        <v>13</v>
      </c>
    </row>
    <row r="9" spans="2:7" x14ac:dyDescent="0.25">
      <c r="B9" s="5" t="s">
        <v>171</v>
      </c>
      <c r="C9" s="5" t="s">
        <v>172</v>
      </c>
      <c r="D9" s="5" t="s">
        <v>173</v>
      </c>
    </row>
    <row r="10" spans="2:7" x14ac:dyDescent="0.25">
      <c r="B10" s="5" t="s">
        <v>174</v>
      </c>
      <c r="C10" s="5" t="s">
        <v>175</v>
      </c>
      <c r="D10" s="5" t="s">
        <v>176</v>
      </c>
    </row>
    <row r="12" spans="2:7" x14ac:dyDescent="0.25">
      <c r="B12" s="4" t="s">
        <v>164</v>
      </c>
      <c r="C12" s="4" t="s">
        <v>130</v>
      </c>
      <c r="D12" s="4" t="s">
        <v>131</v>
      </c>
      <c r="E12" s="4" t="s">
        <v>112</v>
      </c>
      <c r="F12" s="4" t="s">
        <v>10</v>
      </c>
      <c r="G12" s="4" t="s">
        <v>171</v>
      </c>
    </row>
    <row r="13" spans="2:7" x14ac:dyDescent="0.25">
      <c r="B13" s="32">
        <v>101</v>
      </c>
      <c r="C13" s="32" t="s">
        <v>168</v>
      </c>
      <c r="D13" s="32" t="s">
        <v>177</v>
      </c>
      <c r="E13" s="32" t="s">
        <v>12</v>
      </c>
      <c r="F13" s="32" t="s">
        <v>13</v>
      </c>
      <c r="G13" s="32">
        <v>500000</v>
      </c>
    </row>
    <row r="14" spans="2:7" x14ac:dyDescent="0.25">
      <c r="B14" s="32">
        <v>102</v>
      </c>
      <c r="C14" s="32" t="s">
        <v>168</v>
      </c>
      <c r="D14" s="32" t="s">
        <v>178</v>
      </c>
      <c r="E14" s="32" t="s">
        <v>15</v>
      </c>
      <c r="F14" s="32" t="s">
        <v>16</v>
      </c>
      <c r="G14" s="32">
        <v>350000</v>
      </c>
    </row>
    <row r="18" spans="2:7" x14ac:dyDescent="0.25">
      <c r="B18" s="33" t="s">
        <v>70</v>
      </c>
    </row>
    <row r="19" spans="2:7" x14ac:dyDescent="0.25">
      <c r="B19" s="4" t="s">
        <v>161</v>
      </c>
      <c r="C19" s="4" t="s">
        <v>162</v>
      </c>
      <c r="D19" s="4" t="s">
        <v>163</v>
      </c>
    </row>
    <row r="20" spans="2:7" x14ac:dyDescent="0.25">
      <c r="B20" s="5" t="s">
        <v>150</v>
      </c>
      <c r="C20" s="5" t="s">
        <v>165</v>
      </c>
      <c r="D20" s="5" t="s">
        <v>179</v>
      </c>
    </row>
    <row r="21" spans="2:7" x14ac:dyDescent="0.25">
      <c r="B21" s="5" t="s">
        <v>151</v>
      </c>
      <c r="C21" s="5" t="s">
        <v>167</v>
      </c>
      <c r="D21" s="5" t="s">
        <v>155</v>
      </c>
    </row>
    <row r="22" spans="2:7" x14ac:dyDescent="0.25">
      <c r="B22" s="5" t="s">
        <v>152</v>
      </c>
      <c r="C22" s="5" t="s">
        <v>170</v>
      </c>
      <c r="D22" s="5" t="s">
        <v>40</v>
      </c>
    </row>
    <row r="23" spans="2:7" x14ac:dyDescent="0.25">
      <c r="B23" s="5" t="s">
        <v>153</v>
      </c>
      <c r="C23" s="5" t="s">
        <v>180</v>
      </c>
      <c r="D23" s="5" t="s">
        <v>156</v>
      </c>
    </row>
    <row r="24" spans="2:7" x14ac:dyDescent="0.25">
      <c r="B24" s="5" t="s">
        <v>100</v>
      </c>
      <c r="C24" s="5" t="s">
        <v>181</v>
      </c>
      <c r="D24" s="5" t="s">
        <v>157</v>
      </c>
    </row>
    <row r="25" spans="2:7" x14ac:dyDescent="0.25">
      <c r="B25" s="5" t="s">
        <v>154</v>
      </c>
      <c r="C25" s="5" t="s">
        <v>182</v>
      </c>
      <c r="D25" s="5" t="s">
        <v>183</v>
      </c>
    </row>
    <row r="27" spans="2:7" x14ac:dyDescent="0.25">
      <c r="B27" s="4" t="s">
        <v>150</v>
      </c>
      <c r="C27" s="4" t="s">
        <v>151</v>
      </c>
      <c r="D27" s="4" t="s">
        <v>152</v>
      </c>
      <c r="E27" s="4" t="s">
        <v>153</v>
      </c>
      <c r="F27" s="4" t="s">
        <v>100</v>
      </c>
      <c r="G27" s="4" t="s">
        <v>154</v>
      </c>
    </row>
    <row r="28" spans="2:7" x14ac:dyDescent="0.25">
      <c r="B28" s="32">
        <v>1001</v>
      </c>
      <c r="C28" s="32" t="s">
        <v>155</v>
      </c>
      <c r="D28" s="32" t="s">
        <v>40</v>
      </c>
      <c r="E28" s="32" t="s">
        <v>156</v>
      </c>
      <c r="F28" s="32" t="s">
        <v>157</v>
      </c>
      <c r="G28" s="32">
        <v>999</v>
      </c>
    </row>
    <row r="29" spans="2:7" x14ac:dyDescent="0.25">
      <c r="B29" s="32">
        <v>1002</v>
      </c>
      <c r="C29" s="32" t="s">
        <v>158</v>
      </c>
      <c r="D29" s="32" t="s">
        <v>38</v>
      </c>
      <c r="E29" s="32" t="s">
        <v>159</v>
      </c>
      <c r="F29" s="32" t="s">
        <v>160</v>
      </c>
      <c r="G29" s="32">
        <v>1499</v>
      </c>
    </row>
    <row r="32" spans="2:7" x14ac:dyDescent="0.25">
      <c r="B32" s="33" t="s">
        <v>71</v>
      </c>
    </row>
    <row r="33" spans="2:6" x14ac:dyDescent="0.25">
      <c r="B33" s="4" t="s">
        <v>161</v>
      </c>
      <c r="C33" s="4" t="s">
        <v>162</v>
      </c>
      <c r="D33" s="4" t="s">
        <v>163</v>
      </c>
    </row>
    <row r="34" spans="2:6" x14ac:dyDescent="0.25">
      <c r="B34" s="5" t="s">
        <v>184</v>
      </c>
      <c r="C34" s="5" t="s">
        <v>165</v>
      </c>
      <c r="D34" s="5" t="s">
        <v>185</v>
      </c>
    </row>
    <row r="35" spans="2:6" x14ac:dyDescent="0.25">
      <c r="B35" s="5" t="s">
        <v>186</v>
      </c>
      <c r="C35" s="5" t="s">
        <v>167</v>
      </c>
      <c r="D35" s="5" t="s">
        <v>187</v>
      </c>
    </row>
    <row r="36" spans="2:6" x14ac:dyDescent="0.25">
      <c r="B36" s="5" t="s">
        <v>112</v>
      </c>
      <c r="C36" s="5" t="s">
        <v>170</v>
      </c>
      <c r="D36" s="5" t="s">
        <v>188</v>
      </c>
    </row>
    <row r="37" spans="2:6" x14ac:dyDescent="0.25">
      <c r="B37" s="5" t="s">
        <v>10</v>
      </c>
      <c r="C37" s="5" t="s">
        <v>170</v>
      </c>
      <c r="D37" s="5" t="s">
        <v>189</v>
      </c>
    </row>
    <row r="38" spans="2:6" x14ac:dyDescent="0.25">
      <c r="B38" s="5" t="s">
        <v>190</v>
      </c>
      <c r="C38" s="5" t="s">
        <v>181</v>
      </c>
      <c r="D38" s="5" t="s">
        <v>191</v>
      </c>
    </row>
    <row r="41" spans="2:6" x14ac:dyDescent="0.25">
      <c r="B41" s="4" t="s">
        <v>184</v>
      </c>
      <c r="C41" s="4" t="s">
        <v>186</v>
      </c>
      <c r="D41" s="4" t="s">
        <v>112</v>
      </c>
      <c r="E41" s="4" t="s">
        <v>10</v>
      </c>
      <c r="F41" s="4" t="s">
        <v>190</v>
      </c>
    </row>
    <row r="42" spans="2:6" x14ac:dyDescent="0.25">
      <c r="B42" s="32">
        <v>201</v>
      </c>
      <c r="C42" s="32" t="s">
        <v>187</v>
      </c>
      <c r="D42" s="32" t="s">
        <v>188</v>
      </c>
      <c r="E42" s="32" t="s">
        <v>189</v>
      </c>
      <c r="F42" s="32" t="s">
        <v>192</v>
      </c>
    </row>
    <row r="43" spans="2:6" x14ac:dyDescent="0.25">
      <c r="B43" s="32">
        <v>202</v>
      </c>
      <c r="C43" s="32" t="s">
        <v>187</v>
      </c>
      <c r="D43" s="32" t="s">
        <v>193</v>
      </c>
      <c r="E43" s="32" t="s">
        <v>194</v>
      </c>
      <c r="F43" s="32" t="s">
        <v>192</v>
      </c>
    </row>
    <row r="46" spans="2:6" x14ac:dyDescent="0.25">
      <c r="B46" s="33" t="s">
        <v>72</v>
      </c>
    </row>
    <row r="47" spans="2:6" x14ac:dyDescent="0.25">
      <c r="B47" s="4" t="s">
        <v>161</v>
      </c>
      <c r="C47" s="4" t="s">
        <v>162</v>
      </c>
      <c r="D47" s="4" t="s">
        <v>163</v>
      </c>
    </row>
    <row r="48" spans="2:6" x14ac:dyDescent="0.25">
      <c r="B48" s="5" t="s">
        <v>195</v>
      </c>
      <c r="C48" s="5" t="s">
        <v>165</v>
      </c>
      <c r="D48" s="5" t="s">
        <v>196</v>
      </c>
    </row>
    <row r="49" spans="2:5" x14ac:dyDescent="0.25">
      <c r="B49" s="5" t="s">
        <v>150</v>
      </c>
      <c r="C49" s="5" t="s">
        <v>197</v>
      </c>
      <c r="D49" s="5" t="s">
        <v>198</v>
      </c>
    </row>
    <row r="50" spans="2:5" x14ac:dyDescent="0.25">
      <c r="B50" s="5" t="s">
        <v>184</v>
      </c>
      <c r="C50" s="5" t="s">
        <v>197</v>
      </c>
      <c r="D50" s="5" t="s">
        <v>199</v>
      </c>
    </row>
    <row r="51" spans="2:5" x14ac:dyDescent="0.25">
      <c r="B51" s="5" t="s">
        <v>200</v>
      </c>
      <c r="C51" s="5" t="s">
        <v>172</v>
      </c>
      <c r="D51" s="5" t="s">
        <v>201</v>
      </c>
    </row>
    <row r="53" spans="2:5" x14ac:dyDescent="0.25">
      <c r="B53" s="4" t="s">
        <v>195</v>
      </c>
      <c r="C53" s="4" t="s">
        <v>150</v>
      </c>
      <c r="D53" s="4" t="s">
        <v>184</v>
      </c>
      <c r="E53" s="4" t="s">
        <v>200</v>
      </c>
    </row>
    <row r="54" spans="2:5" x14ac:dyDescent="0.25">
      <c r="B54" s="32">
        <v>1</v>
      </c>
      <c r="C54" s="32">
        <v>1001</v>
      </c>
      <c r="D54" s="32">
        <v>201</v>
      </c>
      <c r="E54" s="32">
        <v>120</v>
      </c>
    </row>
    <row r="55" spans="2:5" x14ac:dyDescent="0.25">
      <c r="B55" s="32">
        <v>2</v>
      </c>
      <c r="C55" s="32">
        <v>1002</v>
      </c>
      <c r="D55" s="32">
        <v>202</v>
      </c>
      <c r="E55" s="32">
        <v>75</v>
      </c>
    </row>
    <row r="58" spans="2:5" x14ac:dyDescent="0.25">
      <c r="B58" s="33" t="s">
        <v>73</v>
      </c>
    </row>
    <row r="59" spans="2:5" x14ac:dyDescent="0.25">
      <c r="B59" s="4" t="s">
        <v>161</v>
      </c>
      <c r="C59" s="4" t="s">
        <v>162</v>
      </c>
      <c r="D59" s="4" t="s">
        <v>163</v>
      </c>
    </row>
    <row r="60" spans="2:5" x14ac:dyDescent="0.25">
      <c r="B60" s="5" t="s">
        <v>108</v>
      </c>
      <c r="C60" s="5" t="s">
        <v>165</v>
      </c>
      <c r="D60" s="5" t="s">
        <v>202</v>
      </c>
    </row>
    <row r="61" spans="2:5" x14ac:dyDescent="0.25">
      <c r="B61" s="5" t="s">
        <v>109</v>
      </c>
      <c r="C61" s="5" t="s">
        <v>167</v>
      </c>
      <c r="D61" s="5" t="s">
        <v>203</v>
      </c>
    </row>
    <row r="62" spans="2:5" x14ac:dyDescent="0.25">
      <c r="B62" s="5" t="s">
        <v>204</v>
      </c>
      <c r="C62" s="5" t="s">
        <v>205</v>
      </c>
      <c r="D62" s="5" t="s">
        <v>206</v>
      </c>
    </row>
    <row r="63" spans="2:5" x14ac:dyDescent="0.25">
      <c r="B63" s="5" t="s">
        <v>207</v>
      </c>
      <c r="C63" s="5" t="s">
        <v>167</v>
      </c>
      <c r="D63" s="5" t="s">
        <v>208</v>
      </c>
    </row>
    <row r="64" spans="2:5" x14ac:dyDescent="0.25">
      <c r="B64" s="5" t="s">
        <v>112</v>
      </c>
      <c r="C64" s="5" t="s">
        <v>170</v>
      </c>
      <c r="D64" s="5" t="s">
        <v>209</v>
      </c>
    </row>
    <row r="66" spans="2:5" x14ac:dyDescent="0.25">
      <c r="B66" s="4" t="s">
        <v>108</v>
      </c>
      <c r="C66" s="4" t="s">
        <v>109</v>
      </c>
      <c r="D66" s="4" t="s">
        <v>204</v>
      </c>
      <c r="E66" s="4" t="s">
        <v>112</v>
      </c>
    </row>
    <row r="67" spans="2:5" x14ac:dyDescent="0.25">
      <c r="B67" s="32">
        <v>301</v>
      </c>
      <c r="C67" s="32" t="s">
        <v>210</v>
      </c>
      <c r="D67" s="32">
        <v>9876543210</v>
      </c>
      <c r="E67" s="32" t="s">
        <v>188</v>
      </c>
    </row>
    <row r="68" spans="2:5" x14ac:dyDescent="0.25">
      <c r="B68" s="32">
        <v>302</v>
      </c>
      <c r="C68" s="32" t="s">
        <v>211</v>
      </c>
      <c r="D68" s="32">
        <v>9876501234</v>
      </c>
      <c r="E68" s="32" t="s">
        <v>212</v>
      </c>
    </row>
    <row r="71" spans="2:5" x14ac:dyDescent="0.25">
      <c r="B71" s="33" t="s">
        <v>74</v>
      </c>
    </row>
    <row r="72" spans="2:5" x14ac:dyDescent="0.25">
      <c r="B72" s="4" t="s">
        <v>161</v>
      </c>
      <c r="C72" s="4" t="s">
        <v>162</v>
      </c>
      <c r="D72" s="4" t="s">
        <v>163</v>
      </c>
    </row>
    <row r="73" spans="2:5" x14ac:dyDescent="0.25">
      <c r="B73" s="5" t="s">
        <v>213</v>
      </c>
      <c r="C73" s="5" t="s">
        <v>165</v>
      </c>
      <c r="D73" s="5" t="s">
        <v>214</v>
      </c>
    </row>
    <row r="74" spans="2:5" x14ac:dyDescent="0.25">
      <c r="B74" s="5" t="s">
        <v>150</v>
      </c>
      <c r="C74" s="5" t="s">
        <v>197</v>
      </c>
      <c r="D74" s="5" t="s">
        <v>215</v>
      </c>
    </row>
    <row r="75" spans="2:5" x14ac:dyDescent="0.25">
      <c r="B75" s="5" t="s">
        <v>184</v>
      </c>
      <c r="C75" s="5" t="s">
        <v>197</v>
      </c>
      <c r="D75" s="5" t="s">
        <v>80</v>
      </c>
    </row>
    <row r="76" spans="2:5" x14ac:dyDescent="0.25">
      <c r="B76" s="5" t="s">
        <v>108</v>
      </c>
      <c r="C76" s="5" t="s">
        <v>197</v>
      </c>
      <c r="D76" s="5" t="s">
        <v>81</v>
      </c>
    </row>
    <row r="77" spans="2:5" x14ac:dyDescent="0.25">
      <c r="B77" s="5" t="s">
        <v>216</v>
      </c>
      <c r="C77" s="5" t="s">
        <v>217</v>
      </c>
      <c r="D77" s="5" t="s">
        <v>218</v>
      </c>
    </row>
    <row r="78" spans="2:5" x14ac:dyDescent="0.25">
      <c r="B78" s="5" t="s">
        <v>200</v>
      </c>
      <c r="C78" s="5" t="s">
        <v>172</v>
      </c>
      <c r="D78" s="5" t="s">
        <v>219</v>
      </c>
    </row>
    <row r="79" spans="2:5" x14ac:dyDescent="0.25">
      <c r="B79" s="5" t="s">
        <v>220</v>
      </c>
      <c r="C79" s="5" t="s">
        <v>182</v>
      </c>
      <c r="D79" s="5" t="s">
        <v>221</v>
      </c>
    </row>
    <row r="81" spans="2:8" x14ac:dyDescent="0.25">
      <c r="B81" s="4" t="s">
        <v>213</v>
      </c>
      <c r="C81" s="4" t="s">
        <v>150</v>
      </c>
      <c r="D81" s="4" t="s">
        <v>184</v>
      </c>
      <c r="E81" s="4" t="s">
        <v>108</v>
      </c>
      <c r="F81" s="4" t="s">
        <v>216</v>
      </c>
      <c r="G81" s="4" t="s">
        <v>200</v>
      </c>
      <c r="H81" s="4" t="s">
        <v>220</v>
      </c>
    </row>
    <row r="82" spans="2:8" x14ac:dyDescent="0.25">
      <c r="B82" s="32">
        <v>5001</v>
      </c>
      <c r="C82" s="32">
        <v>1001</v>
      </c>
      <c r="D82" s="32">
        <v>201</v>
      </c>
      <c r="E82" s="32">
        <v>301</v>
      </c>
      <c r="F82" s="32">
        <v>46223</v>
      </c>
      <c r="G82" s="32">
        <v>2</v>
      </c>
      <c r="H82" s="32">
        <v>1998</v>
      </c>
    </row>
    <row r="83" spans="2:8" x14ac:dyDescent="0.25">
      <c r="B83" s="32">
        <v>5002</v>
      </c>
      <c r="C83" s="32">
        <v>1002</v>
      </c>
      <c r="D83" s="32">
        <v>202</v>
      </c>
      <c r="E83" s="32">
        <v>302</v>
      </c>
      <c r="F83" s="32">
        <v>46223</v>
      </c>
      <c r="G83" s="32">
        <v>1</v>
      </c>
      <c r="H83" s="32">
        <v>1499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3F375-52F1-4704-A85E-BDE352B7B9F2}">
  <dimension ref="B5:H17"/>
  <sheetViews>
    <sheetView showGridLines="0" workbookViewId="0">
      <selection activeCell="B30" sqref="B30"/>
    </sheetView>
  </sheetViews>
  <sheetFormatPr defaultColWidth="26.85546875" defaultRowHeight="15" x14ac:dyDescent="0.25"/>
  <cols>
    <col min="1" max="1" width="26.85546875" customWidth="1"/>
    <col min="2" max="2" width="25" customWidth="1"/>
    <col min="3" max="3" width="23.85546875" customWidth="1"/>
    <col min="4" max="4" width="14" bestFit="1" customWidth="1"/>
    <col min="5" max="5" width="23.42578125" customWidth="1"/>
    <col min="6" max="6" width="9.140625" bestFit="1" customWidth="1"/>
    <col min="7" max="7" width="8" bestFit="1" customWidth="1"/>
    <col min="8" max="8" width="12.28515625" bestFit="1" customWidth="1"/>
  </cols>
  <sheetData>
    <row r="5" spans="2:8" x14ac:dyDescent="0.25">
      <c r="B5" s="33" t="s">
        <v>225</v>
      </c>
    </row>
    <row r="6" spans="2:8" x14ac:dyDescent="0.25">
      <c r="B6" s="4" t="s">
        <v>161</v>
      </c>
      <c r="C6" s="4" t="s">
        <v>162</v>
      </c>
      <c r="D6" s="4" t="s">
        <v>163</v>
      </c>
    </row>
    <row r="7" spans="2:8" ht="30" x14ac:dyDescent="0.25">
      <c r="B7" s="5" t="s">
        <v>213</v>
      </c>
      <c r="C7" s="5" t="s">
        <v>165</v>
      </c>
      <c r="D7" s="5" t="s">
        <v>214</v>
      </c>
    </row>
    <row r="8" spans="2:8" x14ac:dyDescent="0.25">
      <c r="B8" s="5" t="s">
        <v>150</v>
      </c>
      <c r="C8" s="5" t="s">
        <v>197</v>
      </c>
      <c r="D8" s="5" t="s">
        <v>215</v>
      </c>
    </row>
    <row r="9" spans="2:8" x14ac:dyDescent="0.25">
      <c r="B9" s="5" t="s">
        <v>184</v>
      </c>
      <c r="C9" s="5" t="s">
        <v>197</v>
      </c>
      <c r="D9" s="5" t="s">
        <v>80</v>
      </c>
    </row>
    <row r="10" spans="2:8" x14ac:dyDescent="0.25">
      <c r="B10" s="5" t="s">
        <v>108</v>
      </c>
      <c r="C10" s="5" t="s">
        <v>197</v>
      </c>
      <c r="D10" s="5" t="s">
        <v>81</v>
      </c>
    </row>
    <row r="11" spans="2:8" x14ac:dyDescent="0.25">
      <c r="B11" s="5" t="s">
        <v>216</v>
      </c>
      <c r="C11" s="5" t="s">
        <v>217</v>
      </c>
      <c r="D11" s="5" t="s">
        <v>218</v>
      </c>
    </row>
    <row r="12" spans="2:8" x14ac:dyDescent="0.25">
      <c r="B12" s="5" t="s">
        <v>200</v>
      </c>
      <c r="C12" s="5" t="s">
        <v>172</v>
      </c>
      <c r="D12" s="5" t="s">
        <v>219</v>
      </c>
    </row>
    <row r="13" spans="2:8" ht="30" x14ac:dyDescent="0.25">
      <c r="B13" s="5" t="s">
        <v>220</v>
      </c>
      <c r="C13" s="5" t="s">
        <v>182</v>
      </c>
      <c r="D13" s="5" t="s">
        <v>221</v>
      </c>
    </row>
    <row r="15" spans="2:8" ht="30" x14ac:dyDescent="0.25">
      <c r="B15" s="4" t="s">
        <v>213</v>
      </c>
      <c r="C15" s="4" t="s">
        <v>150</v>
      </c>
      <c r="D15" s="4" t="s">
        <v>184</v>
      </c>
      <c r="E15" s="4" t="s">
        <v>108</v>
      </c>
      <c r="F15" s="4" t="s">
        <v>216</v>
      </c>
      <c r="G15" s="4" t="s">
        <v>200</v>
      </c>
      <c r="H15" s="4" t="s">
        <v>220</v>
      </c>
    </row>
    <row r="16" spans="2:8" x14ac:dyDescent="0.25">
      <c r="B16" s="32">
        <v>5001</v>
      </c>
      <c r="C16" s="32">
        <v>1001</v>
      </c>
      <c r="D16" s="32">
        <v>201</v>
      </c>
      <c r="E16" s="32">
        <v>301</v>
      </c>
      <c r="F16" s="32">
        <v>46223</v>
      </c>
      <c r="G16" s="32">
        <v>2</v>
      </c>
      <c r="H16" s="32">
        <v>1998</v>
      </c>
    </row>
    <row r="17" spans="2:8" x14ac:dyDescent="0.25">
      <c r="B17" s="32">
        <v>5002</v>
      </c>
      <c r="C17" s="32">
        <v>1002</v>
      </c>
      <c r="D17" s="32">
        <v>202</v>
      </c>
      <c r="E17" s="32">
        <v>302</v>
      </c>
      <c r="F17" s="32">
        <v>46223</v>
      </c>
      <c r="G17" s="32">
        <v>1</v>
      </c>
      <c r="H17" s="32">
        <v>1499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523C-0A4D-46EB-BB5A-9A7546FED81C}">
  <dimension ref="C3:H17"/>
  <sheetViews>
    <sheetView showGridLines="0" workbookViewId="0">
      <selection activeCell="C3" sqref="C3"/>
    </sheetView>
  </sheetViews>
  <sheetFormatPr defaultRowHeight="15" x14ac:dyDescent="0.25"/>
  <cols>
    <col min="3" max="3" width="34.140625" customWidth="1"/>
    <col min="4" max="4" width="26.85546875" customWidth="1"/>
    <col min="5" max="5" width="30.85546875" customWidth="1"/>
  </cols>
  <sheetData>
    <row r="3" spans="3:8" x14ac:dyDescent="0.25">
      <c r="C3" s="33" t="s">
        <v>227</v>
      </c>
    </row>
    <row r="4" spans="3:8" x14ac:dyDescent="0.25">
      <c r="C4" s="4" t="s">
        <v>161</v>
      </c>
      <c r="D4" s="4" t="s">
        <v>162</v>
      </c>
      <c r="E4" s="4" t="s">
        <v>163</v>
      </c>
    </row>
    <row r="5" spans="3:8" x14ac:dyDescent="0.25">
      <c r="C5" s="5" t="s">
        <v>150</v>
      </c>
      <c r="D5" s="5" t="s">
        <v>165</v>
      </c>
      <c r="E5" s="5" t="s">
        <v>179</v>
      </c>
    </row>
    <row r="6" spans="3:8" x14ac:dyDescent="0.25">
      <c r="C6" s="5" t="s">
        <v>151</v>
      </c>
      <c r="D6" s="5" t="s">
        <v>167</v>
      </c>
      <c r="E6" s="5" t="s">
        <v>155</v>
      </c>
    </row>
    <row r="7" spans="3:8" x14ac:dyDescent="0.25">
      <c r="C7" s="5" t="s">
        <v>152</v>
      </c>
      <c r="D7" s="5" t="s">
        <v>170</v>
      </c>
      <c r="E7" s="5" t="s">
        <v>40</v>
      </c>
    </row>
    <row r="8" spans="3:8" x14ac:dyDescent="0.25">
      <c r="C8" s="5" t="s">
        <v>153</v>
      </c>
      <c r="D8" s="5" t="s">
        <v>180</v>
      </c>
      <c r="E8" s="5" t="s">
        <v>156</v>
      </c>
    </row>
    <row r="9" spans="3:8" x14ac:dyDescent="0.25">
      <c r="C9" s="5" t="s">
        <v>100</v>
      </c>
      <c r="D9" s="5" t="s">
        <v>181</v>
      </c>
      <c r="E9" s="5" t="s">
        <v>157</v>
      </c>
    </row>
    <row r="10" spans="3:8" x14ac:dyDescent="0.25">
      <c r="C10" s="5" t="s">
        <v>154</v>
      </c>
      <c r="D10" s="5" t="s">
        <v>182</v>
      </c>
      <c r="E10" s="5" t="s">
        <v>183</v>
      </c>
    </row>
    <row r="15" spans="3:8" x14ac:dyDescent="0.25">
      <c r="C15" s="4" t="s">
        <v>150</v>
      </c>
      <c r="D15" s="4" t="s">
        <v>151</v>
      </c>
      <c r="E15" s="4" t="s">
        <v>152</v>
      </c>
      <c r="F15" s="4" t="s">
        <v>153</v>
      </c>
      <c r="G15" s="4" t="s">
        <v>100</v>
      </c>
      <c r="H15" s="4" t="s">
        <v>154</v>
      </c>
    </row>
    <row r="16" spans="3:8" ht="30" x14ac:dyDescent="0.25">
      <c r="C16" s="32">
        <v>1001</v>
      </c>
      <c r="D16" s="32" t="s">
        <v>155</v>
      </c>
      <c r="E16" s="32" t="s">
        <v>40</v>
      </c>
      <c r="F16" s="32" t="s">
        <v>156</v>
      </c>
      <c r="G16" s="32" t="s">
        <v>157</v>
      </c>
      <c r="H16" s="32">
        <v>999</v>
      </c>
    </row>
    <row r="17" spans="3:8" x14ac:dyDescent="0.25">
      <c r="C17" s="32">
        <v>1002</v>
      </c>
      <c r="D17" s="32" t="s">
        <v>158</v>
      </c>
      <c r="E17" s="32" t="s">
        <v>38</v>
      </c>
      <c r="F17" s="32" t="s">
        <v>159</v>
      </c>
      <c r="G17" s="32" t="s">
        <v>160</v>
      </c>
      <c r="H17" s="32">
        <v>1499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DA85-7039-440F-8568-93D6D66166E9}">
  <dimension ref="C4:G15"/>
  <sheetViews>
    <sheetView showGridLines="0" workbookViewId="0">
      <selection activeCell="E31" sqref="E31"/>
    </sheetView>
  </sheetViews>
  <sheetFormatPr defaultRowHeight="15" x14ac:dyDescent="0.25"/>
  <cols>
    <col min="3" max="3" width="22.42578125" customWidth="1"/>
    <col min="4" max="4" width="20.7109375" customWidth="1"/>
    <col min="5" max="5" width="28.5703125" customWidth="1"/>
    <col min="6" max="6" width="19.140625" customWidth="1"/>
    <col min="7" max="7" width="15.42578125" customWidth="1"/>
  </cols>
  <sheetData>
    <row r="4" spans="3:7" x14ac:dyDescent="0.25">
      <c r="C4" s="33" t="s">
        <v>228</v>
      </c>
    </row>
    <row r="5" spans="3:7" x14ac:dyDescent="0.25">
      <c r="C5" s="4" t="s">
        <v>161</v>
      </c>
      <c r="D5" s="4" t="s">
        <v>162</v>
      </c>
      <c r="E5" s="4" t="s">
        <v>163</v>
      </c>
    </row>
    <row r="6" spans="3:7" x14ac:dyDescent="0.25">
      <c r="C6" s="5" t="s">
        <v>184</v>
      </c>
      <c r="D6" s="5" t="s">
        <v>165</v>
      </c>
      <c r="E6" s="5" t="s">
        <v>185</v>
      </c>
    </row>
    <row r="7" spans="3:7" x14ac:dyDescent="0.25">
      <c r="C7" s="5" t="s">
        <v>186</v>
      </c>
      <c r="D7" s="5" t="s">
        <v>167</v>
      </c>
      <c r="E7" s="5" t="s">
        <v>187</v>
      </c>
    </row>
    <row r="8" spans="3:7" x14ac:dyDescent="0.25">
      <c r="C8" s="5" t="s">
        <v>112</v>
      </c>
      <c r="D8" s="5" t="s">
        <v>170</v>
      </c>
      <c r="E8" s="5" t="s">
        <v>188</v>
      </c>
    </row>
    <row r="9" spans="3:7" x14ac:dyDescent="0.25">
      <c r="C9" s="5" t="s">
        <v>10</v>
      </c>
      <c r="D9" s="5" t="s">
        <v>170</v>
      </c>
      <c r="E9" s="5" t="s">
        <v>189</v>
      </c>
    </row>
    <row r="10" spans="3:7" x14ac:dyDescent="0.25">
      <c r="C10" s="5" t="s">
        <v>190</v>
      </c>
      <c r="D10" s="5" t="s">
        <v>181</v>
      </c>
      <c r="E10" s="5" t="s">
        <v>191</v>
      </c>
    </row>
    <row r="13" spans="3:7" x14ac:dyDescent="0.25">
      <c r="C13" s="4" t="s">
        <v>184</v>
      </c>
      <c r="D13" s="4" t="s">
        <v>186</v>
      </c>
      <c r="E13" s="4" t="s">
        <v>112</v>
      </c>
      <c r="F13" s="4" t="s">
        <v>10</v>
      </c>
      <c r="G13" s="4" t="s">
        <v>190</v>
      </c>
    </row>
    <row r="14" spans="3:7" x14ac:dyDescent="0.25">
      <c r="C14" s="32">
        <v>201</v>
      </c>
      <c r="D14" s="32" t="s">
        <v>187</v>
      </c>
      <c r="E14" s="32" t="s">
        <v>188</v>
      </c>
      <c r="F14" s="32" t="s">
        <v>189</v>
      </c>
      <c r="G14" s="32" t="s">
        <v>192</v>
      </c>
    </row>
    <row r="15" spans="3:7" x14ac:dyDescent="0.25">
      <c r="C15" s="32">
        <v>202</v>
      </c>
      <c r="D15" s="32" t="s">
        <v>187</v>
      </c>
      <c r="E15" s="32" t="s">
        <v>193</v>
      </c>
      <c r="F15" s="32" t="s">
        <v>194</v>
      </c>
      <c r="G15" s="32" t="s">
        <v>192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AA535-B6F2-4ED3-BC2C-7D4E29347207}">
  <dimension ref="C3:F13"/>
  <sheetViews>
    <sheetView showGridLines="0" workbookViewId="0">
      <selection activeCell="J26" sqref="J26"/>
    </sheetView>
  </sheetViews>
  <sheetFormatPr defaultRowHeight="15" x14ac:dyDescent="0.25"/>
  <cols>
    <col min="3" max="3" width="15.85546875" bestFit="1" customWidth="1"/>
    <col min="4" max="4" width="14.85546875" bestFit="1" customWidth="1"/>
    <col min="5" max="5" width="14.140625" bestFit="1" customWidth="1"/>
    <col min="6" max="6" width="10.42578125" bestFit="1" customWidth="1"/>
  </cols>
  <sheetData>
    <row r="3" spans="3:6" x14ac:dyDescent="0.25">
      <c r="C3" s="33" t="s">
        <v>234</v>
      </c>
    </row>
    <row r="4" spans="3:6" x14ac:dyDescent="0.25">
      <c r="C4" s="4" t="s">
        <v>161</v>
      </c>
      <c r="D4" s="4" t="s">
        <v>162</v>
      </c>
      <c r="E4" s="4" t="s">
        <v>163</v>
      </c>
    </row>
    <row r="5" spans="3:6" x14ac:dyDescent="0.25">
      <c r="C5" s="5" t="s">
        <v>108</v>
      </c>
      <c r="D5" s="5" t="s">
        <v>165</v>
      </c>
      <c r="E5" s="5" t="s">
        <v>202</v>
      </c>
    </row>
    <row r="6" spans="3:6" ht="30" x14ac:dyDescent="0.25">
      <c r="C6" s="5" t="s">
        <v>109</v>
      </c>
      <c r="D6" s="5" t="s">
        <v>167</v>
      </c>
      <c r="E6" s="5" t="s">
        <v>203</v>
      </c>
    </row>
    <row r="7" spans="3:6" ht="30" x14ac:dyDescent="0.25">
      <c r="C7" s="5" t="s">
        <v>204</v>
      </c>
      <c r="D7" s="5" t="s">
        <v>205</v>
      </c>
      <c r="E7" s="5" t="s">
        <v>206</v>
      </c>
    </row>
    <row r="8" spans="3:6" x14ac:dyDescent="0.25">
      <c r="C8" s="5" t="s">
        <v>207</v>
      </c>
      <c r="D8" s="5" t="s">
        <v>167</v>
      </c>
      <c r="E8" s="5" t="s">
        <v>208</v>
      </c>
    </row>
    <row r="9" spans="3:6" x14ac:dyDescent="0.25">
      <c r="C9" s="5" t="s">
        <v>112</v>
      </c>
      <c r="D9" s="5" t="s">
        <v>170</v>
      </c>
      <c r="E9" s="5" t="s">
        <v>209</v>
      </c>
    </row>
    <row r="11" spans="3:6" ht="30" x14ac:dyDescent="0.25">
      <c r="C11" s="4" t="s">
        <v>108</v>
      </c>
      <c r="D11" s="4" t="s">
        <v>109</v>
      </c>
      <c r="E11" s="4" t="s">
        <v>204</v>
      </c>
      <c r="F11" s="4" t="s">
        <v>112</v>
      </c>
    </row>
    <row r="12" spans="3:6" x14ac:dyDescent="0.25">
      <c r="C12" s="32">
        <v>301</v>
      </c>
      <c r="D12" s="32" t="s">
        <v>210</v>
      </c>
      <c r="E12" s="32">
        <v>9876543210</v>
      </c>
      <c r="F12" s="32" t="s">
        <v>188</v>
      </c>
    </row>
    <row r="13" spans="3:6" ht="30" x14ac:dyDescent="0.25">
      <c r="C13" s="32">
        <v>302</v>
      </c>
      <c r="D13" s="32" t="s">
        <v>211</v>
      </c>
      <c r="E13" s="32">
        <v>9876501234</v>
      </c>
      <c r="F13" s="32" t="s">
        <v>212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51B2-235E-4B5A-867C-5899AF20CA5D}">
  <dimension ref="C4:F14"/>
  <sheetViews>
    <sheetView showGridLines="0" workbookViewId="0">
      <selection activeCell="C6" sqref="C6:C9"/>
    </sheetView>
  </sheetViews>
  <sheetFormatPr defaultRowHeight="15" x14ac:dyDescent="0.25"/>
  <cols>
    <col min="3" max="3" width="29.7109375" customWidth="1"/>
    <col min="4" max="4" width="25.140625" customWidth="1"/>
    <col min="5" max="5" width="31.5703125" customWidth="1"/>
  </cols>
  <sheetData>
    <row r="4" spans="3:6" x14ac:dyDescent="0.25">
      <c r="C4" s="33" t="s">
        <v>229</v>
      </c>
    </row>
    <row r="5" spans="3:6" x14ac:dyDescent="0.25">
      <c r="C5" s="4" t="s">
        <v>161</v>
      </c>
      <c r="D5" s="4" t="s">
        <v>162</v>
      </c>
      <c r="E5" s="4" t="s">
        <v>163</v>
      </c>
    </row>
    <row r="6" spans="3:6" x14ac:dyDescent="0.25">
      <c r="C6" s="5" t="s">
        <v>195</v>
      </c>
      <c r="D6" s="5" t="s">
        <v>165</v>
      </c>
      <c r="E6" s="5" t="s">
        <v>196</v>
      </c>
    </row>
    <row r="7" spans="3:6" x14ac:dyDescent="0.25">
      <c r="C7" s="5" t="s">
        <v>150</v>
      </c>
      <c r="D7" s="5" t="s">
        <v>197</v>
      </c>
      <c r="E7" s="5" t="s">
        <v>198</v>
      </c>
    </row>
    <row r="8" spans="3:6" x14ac:dyDescent="0.25">
      <c r="C8" s="5" t="s">
        <v>184</v>
      </c>
      <c r="D8" s="5" t="s">
        <v>197</v>
      </c>
      <c r="E8" s="5" t="s">
        <v>199</v>
      </c>
    </row>
    <row r="9" spans="3:6" x14ac:dyDescent="0.25">
      <c r="C9" s="5" t="s">
        <v>200</v>
      </c>
      <c r="D9" s="5" t="s">
        <v>172</v>
      </c>
      <c r="E9" s="5" t="s">
        <v>201</v>
      </c>
    </row>
    <row r="12" spans="3:6" x14ac:dyDescent="0.25">
      <c r="C12" s="4" t="s">
        <v>195</v>
      </c>
      <c r="D12" s="4" t="s">
        <v>150</v>
      </c>
      <c r="E12" s="4" t="s">
        <v>184</v>
      </c>
      <c r="F12" s="4" t="s">
        <v>200</v>
      </c>
    </row>
    <row r="13" spans="3:6" x14ac:dyDescent="0.25">
      <c r="C13" s="32">
        <v>1</v>
      </c>
      <c r="D13" s="32">
        <v>1001</v>
      </c>
      <c r="E13" s="32">
        <v>201</v>
      </c>
      <c r="F13" s="32">
        <v>120</v>
      </c>
    </row>
    <row r="14" spans="3:6" x14ac:dyDescent="0.25">
      <c r="C14" s="32">
        <v>2</v>
      </c>
      <c r="D14" s="32">
        <v>1002</v>
      </c>
      <c r="E14" s="32">
        <v>202</v>
      </c>
      <c r="F14" s="32">
        <v>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996AF-9343-473D-9385-177436086DE6}">
  <dimension ref="B4:G16"/>
  <sheetViews>
    <sheetView showGridLines="0" workbookViewId="0">
      <selection activeCell="C44" sqref="C44"/>
    </sheetView>
  </sheetViews>
  <sheetFormatPr defaultColWidth="38.140625" defaultRowHeight="15" x14ac:dyDescent="0.25"/>
  <cols>
    <col min="1" max="1" width="7.85546875" customWidth="1"/>
    <col min="2" max="2" width="38.140625" customWidth="1"/>
    <col min="3" max="3" width="39.28515625" customWidth="1"/>
    <col min="4" max="4" width="26.28515625" bestFit="1" customWidth="1"/>
    <col min="5" max="5" width="11.7109375" bestFit="1" customWidth="1"/>
    <col min="6" max="6" width="15.85546875" bestFit="1" customWidth="1"/>
    <col min="7" max="7" width="18.42578125" bestFit="1" customWidth="1"/>
  </cols>
  <sheetData>
    <row r="4" spans="2:7" x14ac:dyDescent="0.25">
      <c r="B4" s="33" t="s">
        <v>226</v>
      </c>
      <c r="F4" s="1"/>
    </row>
    <row r="5" spans="2:7" x14ac:dyDescent="0.25">
      <c r="B5" s="4" t="s">
        <v>161</v>
      </c>
      <c r="C5" s="4" t="s">
        <v>162</v>
      </c>
      <c r="D5" s="4" t="s">
        <v>163</v>
      </c>
    </row>
    <row r="6" spans="2:7" x14ac:dyDescent="0.25">
      <c r="B6" s="5" t="s">
        <v>164</v>
      </c>
      <c r="C6" s="5" t="s">
        <v>165</v>
      </c>
      <c r="D6" s="5" t="s">
        <v>166</v>
      </c>
    </row>
    <row r="7" spans="2:7" x14ac:dyDescent="0.25">
      <c r="B7" s="5" t="s">
        <v>130</v>
      </c>
      <c r="C7" s="5" t="s">
        <v>167</v>
      </c>
      <c r="D7" s="5" t="s">
        <v>168</v>
      </c>
    </row>
    <row r="8" spans="2:7" x14ac:dyDescent="0.25">
      <c r="B8" s="5" t="s">
        <v>131</v>
      </c>
      <c r="C8" s="5" t="s">
        <v>167</v>
      </c>
      <c r="D8" s="5" t="s">
        <v>169</v>
      </c>
    </row>
    <row r="9" spans="2:7" x14ac:dyDescent="0.25">
      <c r="B9" s="5" t="s">
        <v>112</v>
      </c>
      <c r="C9" s="5" t="s">
        <v>170</v>
      </c>
      <c r="D9" s="5" t="s">
        <v>12</v>
      </c>
    </row>
    <row r="10" spans="2:7" x14ac:dyDescent="0.25">
      <c r="B10" s="5" t="s">
        <v>10</v>
      </c>
      <c r="C10" s="5" t="s">
        <v>170</v>
      </c>
      <c r="D10" s="5" t="s">
        <v>13</v>
      </c>
    </row>
    <row r="11" spans="2:7" x14ac:dyDescent="0.25">
      <c r="B11" s="5" t="s">
        <v>171</v>
      </c>
      <c r="C11" s="5" t="s">
        <v>172</v>
      </c>
      <c r="D11" s="5" t="s">
        <v>173</v>
      </c>
    </row>
    <row r="12" spans="2:7" x14ac:dyDescent="0.25">
      <c r="B12" s="5" t="s">
        <v>174</v>
      </c>
      <c r="C12" s="5" t="s">
        <v>175</v>
      </c>
      <c r="D12" s="5" t="s">
        <v>176</v>
      </c>
    </row>
    <row r="14" spans="2:7" ht="30" x14ac:dyDescent="0.25">
      <c r="B14" s="4" t="s">
        <v>164</v>
      </c>
      <c r="C14" s="4" t="s">
        <v>130</v>
      </c>
      <c r="D14" s="4" t="s">
        <v>131</v>
      </c>
      <c r="E14" s="4" t="s">
        <v>112</v>
      </c>
      <c r="F14" s="4" t="s">
        <v>10</v>
      </c>
      <c r="G14" s="4" t="s">
        <v>171</v>
      </c>
    </row>
    <row r="15" spans="2:7" x14ac:dyDescent="0.25">
      <c r="B15" s="32">
        <v>101</v>
      </c>
      <c r="C15" s="32" t="s">
        <v>168</v>
      </c>
      <c r="D15" s="32" t="s">
        <v>177</v>
      </c>
      <c r="E15" s="32" t="s">
        <v>12</v>
      </c>
      <c r="F15" s="32" t="s">
        <v>13</v>
      </c>
      <c r="G15" s="32">
        <v>500000</v>
      </c>
    </row>
    <row r="16" spans="2:7" x14ac:dyDescent="0.25">
      <c r="B16" s="32">
        <v>102</v>
      </c>
      <c r="C16" s="32" t="s">
        <v>168</v>
      </c>
      <c r="D16" s="32" t="s">
        <v>178</v>
      </c>
      <c r="E16" s="32" t="s">
        <v>15</v>
      </c>
      <c r="F16" s="32" t="s">
        <v>16</v>
      </c>
      <c r="G16" s="32">
        <v>350000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5C8DD-6BAC-4821-86F0-B1053FACC325}">
  <dimension ref="A1"/>
  <sheetViews>
    <sheetView workbookViewId="0">
      <selection activeCell="O30" sqref="O30"/>
    </sheetView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EA062-CB55-40AE-BD65-6B1B7E37CB84}">
  <dimension ref="B5:H23"/>
  <sheetViews>
    <sheetView showGridLines="0" zoomScale="120" zoomScaleNormal="120" workbookViewId="0">
      <selection activeCell="A37" sqref="A37"/>
    </sheetView>
  </sheetViews>
  <sheetFormatPr defaultColWidth="46" defaultRowHeight="15" x14ac:dyDescent="0.25"/>
  <cols>
    <col min="1" max="1" width="46" customWidth="1"/>
    <col min="2" max="2" width="19.7109375" bestFit="1" customWidth="1"/>
    <col min="3" max="3" width="16.85546875" bestFit="1" customWidth="1"/>
    <col min="4" max="4" width="43.28515625" bestFit="1" customWidth="1"/>
    <col min="5" max="5" width="20.42578125" bestFit="1" customWidth="1"/>
    <col min="6" max="6" width="10.42578125" bestFit="1" customWidth="1"/>
    <col min="7" max="7" width="10" bestFit="1" customWidth="1"/>
    <col min="8" max="8" width="8.28515625" bestFit="1" customWidth="1"/>
  </cols>
  <sheetData>
    <row r="5" spans="2:4" x14ac:dyDescent="0.25">
      <c r="B5" s="4" t="s">
        <v>279</v>
      </c>
      <c r="C5" s="4" t="s">
        <v>280</v>
      </c>
      <c r="D5" s="4" t="s">
        <v>163</v>
      </c>
    </row>
    <row r="6" spans="2:4" x14ac:dyDescent="0.25">
      <c r="B6" s="44" t="s">
        <v>261</v>
      </c>
      <c r="C6" s="44" t="s">
        <v>281</v>
      </c>
      <c r="D6" s="44" t="s">
        <v>282</v>
      </c>
    </row>
    <row r="7" spans="2:4" x14ac:dyDescent="0.25">
      <c r="B7" s="44" t="s">
        <v>262</v>
      </c>
      <c r="C7" s="44"/>
      <c r="D7" s="44" t="s">
        <v>283</v>
      </c>
    </row>
    <row r="8" spans="2:4" x14ac:dyDescent="0.25">
      <c r="B8" s="44" t="s">
        <v>263</v>
      </c>
      <c r="C8" s="44"/>
      <c r="D8" s="44" t="s">
        <v>284</v>
      </c>
    </row>
    <row r="9" spans="2:4" x14ac:dyDescent="0.25">
      <c r="B9" s="44" t="s">
        <v>264</v>
      </c>
      <c r="C9" s="44"/>
      <c r="D9" s="44" t="s">
        <v>285</v>
      </c>
    </row>
    <row r="10" spans="2:4" x14ac:dyDescent="0.25">
      <c r="B10" s="44" t="s">
        <v>265</v>
      </c>
      <c r="C10" s="44"/>
      <c r="D10" s="44" t="s">
        <v>286</v>
      </c>
    </row>
    <row r="11" spans="2:4" x14ac:dyDescent="0.25">
      <c r="B11" s="44" t="s">
        <v>266</v>
      </c>
      <c r="C11" s="44"/>
      <c r="D11" s="44" t="s">
        <v>287</v>
      </c>
    </row>
    <row r="12" spans="2:4" x14ac:dyDescent="0.25">
      <c r="B12" s="44" t="s">
        <v>288</v>
      </c>
      <c r="C12" s="44"/>
      <c r="D12" s="44" t="s">
        <v>289</v>
      </c>
    </row>
    <row r="13" spans="2:4" x14ac:dyDescent="0.25">
      <c r="B13" s="44" t="s">
        <v>290</v>
      </c>
      <c r="C13" s="44"/>
      <c r="D13" s="44" t="s">
        <v>291</v>
      </c>
    </row>
    <row r="19" spans="2:8" x14ac:dyDescent="0.25">
      <c r="B19" s="4" t="s">
        <v>261</v>
      </c>
      <c r="C19" s="4" t="s">
        <v>262</v>
      </c>
      <c r="D19" s="4" t="s">
        <v>263</v>
      </c>
      <c r="E19" s="4" t="s">
        <v>264</v>
      </c>
      <c r="F19" s="4" t="s">
        <v>265</v>
      </c>
      <c r="G19" s="4" t="s">
        <v>266</v>
      </c>
      <c r="H19" s="4" t="s">
        <v>267</v>
      </c>
    </row>
    <row r="20" spans="2:8" x14ac:dyDescent="0.25">
      <c r="B20" s="44">
        <v>101</v>
      </c>
      <c r="C20" s="44" t="s">
        <v>268</v>
      </c>
      <c r="D20" s="44" t="s">
        <v>269</v>
      </c>
      <c r="E20" s="45">
        <v>0.2</v>
      </c>
      <c r="F20" s="46">
        <v>45778</v>
      </c>
      <c r="G20" s="46">
        <v>45808</v>
      </c>
      <c r="H20" s="44" t="s">
        <v>270</v>
      </c>
    </row>
    <row r="21" spans="2:8" x14ac:dyDescent="0.25">
      <c r="B21" s="44">
        <v>102</v>
      </c>
      <c r="C21" s="44" t="s">
        <v>271</v>
      </c>
      <c r="D21" s="44" t="s">
        <v>272</v>
      </c>
      <c r="E21" s="45">
        <v>0.3</v>
      </c>
      <c r="F21" s="46">
        <v>45945</v>
      </c>
      <c r="G21" s="46">
        <v>45961</v>
      </c>
      <c r="H21" s="44" t="s">
        <v>273</v>
      </c>
    </row>
    <row r="22" spans="2:8" x14ac:dyDescent="0.25">
      <c r="B22" s="44">
        <v>103</v>
      </c>
      <c r="C22" s="44" t="s">
        <v>274</v>
      </c>
      <c r="D22" s="44" t="s">
        <v>275</v>
      </c>
      <c r="E22" s="45">
        <v>0.25</v>
      </c>
      <c r="F22" s="46">
        <v>45839</v>
      </c>
      <c r="G22" s="46">
        <v>45853</v>
      </c>
      <c r="H22" s="44" t="s">
        <v>270</v>
      </c>
    </row>
    <row r="23" spans="2:8" x14ac:dyDescent="0.25">
      <c r="B23" s="44">
        <v>104</v>
      </c>
      <c r="C23" s="44" t="s">
        <v>276</v>
      </c>
      <c r="D23" s="44" t="s">
        <v>277</v>
      </c>
      <c r="E23" s="45">
        <v>0.15</v>
      </c>
      <c r="F23" s="46">
        <v>45992</v>
      </c>
      <c r="G23" s="46">
        <v>46022</v>
      </c>
      <c r="H23" s="44" t="s">
        <v>278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70F3-399C-48A4-B55F-1132CE57A063}">
  <dimension ref="C6:AB25"/>
  <sheetViews>
    <sheetView workbookViewId="0">
      <selection activeCell="Q30" sqref="Q30"/>
    </sheetView>
  </sheetViews>
  <sheetFormatPr defaultRowHeight="15" x14ac:dyDescent="0.25"/>
  <cols>
    <col min="3" max="3" width="18.7109375" bestFit="1" customWidth="1"/>
    <col min="4" max="4" width="29.85546875" bestFit="1" customWidth="1"/>
    <col min="5" max="5" width="16.7109375" bestFit="1" customWidth="1"/>
  </cols>
  <sheetData>
    <row r="6" spans="3:28" ht="195" x14ac:dyDescent="0.25">
      <c r="D6" s="104" t="s">
        <v>441</v>
      </c>
    </row>
    <row r="8" spans="3:28" ht="15.75" thickBot="1" x14ac:dyDescent="0.3"/>
    <row r="9" spans="3:28" ht="15.75" thickBot="1" x14ac:dyDescent="0.3">
      <c r="C9" s="1"/>
      <c r="D9" s="106" t="s">
        <v>442</v>
      </c>
      <c r="E9" s="1"/>
    </row>
    <row r="10" spans="3:28" x14ac:dyDescent="0.25">
      <c r="C10" s="1"/>
      <c r="E10" s="1"/>
    </row>
    <row r="11" spans="3:28" ht="15.75" thickBot="1" x14ac:dyDescent="0.3">
      <c r="C11" s="1"/>
      <c r="D11" s="1"/>
      <c r="E11" s="1"/>
    </row>
    <row r="12" spans="3:28" ht="15.75" thickBot="1" x14ac:dyDescent="0.3">
      <c r="C12" s="105" t="s">
        <v>443</v>
      </c>
      <c r="D12" s="1"/>
      <c r="E12" s="105" t="s">
        <v>444</v>
      </c>
    </row>
    <row r="13" spans="3:28" ht="15.75" thickBot="1" x14ac:dyDescent="0.3">
      <c r="V13" s="108">
        <v>6250</v>
      </c>
    </row>
    <row r="14" spans="3:28" ht="15.75" thickBot="1" x14ac:dyDescent="0.3">
      <c r="V14" s="109">
        <v>5115</v>
      </c>
    </row>
    <row r="15" spans="3:28" ht="15.75" thickBot="1" x14ac:dyDescent="0.3">
      <c r="D15" s="106" t="s">
        <v>445</v>
      </c>
      <c r="V15" s="109">
        <v>4200</v>
      </c>
      <c r="Y15" s="108">
        <v>6250</v>
      </c>
      <c r="AB15" s="108">
        <v>6250</v>
      </c>
    </row>
    <row r="16" spans="3:28" ht="15.75" thickBot="1" x14ac:dyDescent="0.3">
      <c r="V16" s="109">
        <v>6655</v>
      </c>
      <c r="Y16" s="109">
        <v>5115</v>
      </c>
      <c r="AB16" s="109">
        <v>5115</v>
      </c>
    </row>
    <row r="17" spans="4:28" ht="15.75" thickBot="1" x14ac:dyDescent="0.3">
      <c r="D17" t="s">
        <v>446</v>
      </c>
      <c r="Q17" s="108">
        <v>8150</v>
      </c>
      <c r="V17" s="109">
        <v>4400</v>
      </c>
      <c r="Y17" s="109">
        <v>4400</v>
      </c>
      <c r="AB17" s="109">
        <v>4400</v>
      </c>
    </row>
    <row r="18" spans="4:28" ht="15.75" thickBot="1" x14ac:dyDescent="0.3">
      <c r="Q18" s="109">
        <v>5900</v>
      </c>
      <c r="V18" s="109">
        <v>5850</v>
      </c>
      <c r="Y18" s="109">
        <v>6800</v>
      </c>
      <c r="AB18" s="109">
        <v>6700</v>
      </c>
    </row>
    <row r="19" spans="4:28" ht="15.75" thickBot="1" x14ac:dyDescent="0.3">
      <c r="D19" t="s">
        <v>447</v>
      </c>
      <c r="Q19" s="109">
        <v>6000</v>
      </c>
      <c r="V19" s="109">
        <v>5200</v>
      </c>
      <c r="Y19" s="109">
        <v>4800</v>
      </c>
      <c r="AB19" s="109">
        <v>4800</v>
      </c>
    </row>
    <row r="20" spans="4:28" ht="15.75" thickBot="1" x14ac:dyDescent="0.3">
      <c r="Q20" s="109">
        <v>4900</v>
      </c>
      <c r="V20" s="109">
        <v>2000</v>
      </c>
      <c r="Y20" s="109">
        <v>2800</v>
      </c>
      <c r="AB20" s="109">
        <v>2750</v>
      </c>
    </row>
    <row r="21" spans="4:28" ht="15.75" thickBot="1" x14ac:dyDescent="0.3">
      <c r="Q21" s="109">
        <v>4200</v>
      </c>
      <c r="Y21" s="107"/>
    </row>
    <row r="22" spans="4:28" ht="15.75" thickBot="1" x14ac:dyDescent="0.3">
      <c r="Q22" s="109">
        <v>2750</v>
      </c>
      <c r="V22" s="107">
        <f>SUM(V13:V21)</f>
        <v>39670</v>
      </c>
      <c r="Y22" s="107">
        <f>SUM(Y15:Y21)</f>
        <v>30165</v>
      </c>
      <c r="AB22" s="110">
        <v>6003</v>
      </c>
    </row>
    <row r="23" spans="4:28" x14ac:dyDescent="0.25">
      <c r="Q23" s="111">
        <v>6380</v>
      </c>
      <c r="Y23" s="107">
        <v>6033</v>
      </c>
    </row>
    <row r="24" spans="4:28" x14ac:dyDescent="0.25">
      <c r="Q24" s="110"/>
      <c r="AB24" s="107">
        <f>SUM(AB15:AB23)</f>
        <v>36018</v>
      </c>
    </row>
    <row r="25" spans="4:28" x14ac:dyDescent="0.25">
      <c r="Q25" s="107">
        <f>SUM(Q17:Q24)</f>
        <v>38280</v>
      </c>
      <c r="Y25" s="107">
        <f>SUM(Y15:Y24)</f>
        <v>66363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D416B-10FC-498A-8C2A-F57567DF6B33}">
  <dimension ref="C4:E21"/>
  <sheetViews>
    <sheetView workbookViewId="0">
      <selection activeCell="C31" sqref="C31"/>
    </sheetView>
  </sheetViews>
  <sheetFormatPr defaultRowHeight="15" x14ac:dyDescent="0.25"/>
  <cols>
    <col min="3" max="3" width="52" bestFit="1" customWidth="1"/>
    <col min="4" max="4" width="10" bestFit="1" customWidth="1"/>
    <col min="5" max="5" width="18.140625" bestFit="1" customWidth="1"/>
  </cols>
  <sheetData>
    <row r="4" spans="3:5" x14ac:dyDescent="0.25">
      <c r="C4" s="30" t="s">
        <v>134</v>
      </c>
      <c r="D4" s="30" t="s">
        <v>135</v>
      </c>
      <c r="E4" s="30" t="s">
        <v>136</v>
      </c>
    </row>
    <row r="5" spans="3:5" x14ac:dyDescent="0.25">
      <c r="C5" s="5" t="s">
        <v>137</v>
      </c>
      <c r="D5" s="15" t="s">
        <v>138</v>
      </c>
      <c r="E5" s="30" t="s">
        <v>139</v>
      </c>
    </row>
    <row r="6" spans="3:5" x14ac:dyDescent="0.25">
      <c r="C6" s="5" t="s">
        <v>140</v>
      </c>
      <c r="D6" s="15" t="s">
        <v>138</v>
      </c>
      <c r="E6" s="30" t="s">
        <v>139</v>
      </c>
    </row>
    <row r="7" spans="3:5" x14ac:dyDescent="0.25">
      <c r="C7" s="5" t="s">
        <v>141</v>
      </c>
      <c r="D7" s="15" t="s">
        <v>138</v>
      </c>
      <c r="E7" s="15" t="s">
        <v>138</v>
      </c>
    </row>
    <row r="8" spans="3:5" x14ac:dyDescent="0.25">
      <c r="C8" s="5" t="s">
        <v>142</v>
      </c>
      <c r="D8" s="15" t="s">
        <v>138</v>
      </c>
      <c r="E8" s="15" t="s">
        <v>138</v>
      </c>
    </row>
    <row r="9" spans="3:5" x14ac:dyDescent="0.25">
      <c r="C9" s="5" t="s">
        <v>143</v>
      </c>
      <c r="D9" s="15" t="s">
        <v>138</v>
      </c>
      <c r="E9" s="30" t="s">
        <v>139</v>
      </c>
    </row>
    <row r="10" spans="3:5" x14ac:dyDescent="0.25">
      <c r="C10" s="5" t="s">
        <v>144</v>
      </c>
      <c r="D10" s="30" t="s">
        <v>139</v>
      </c>
      <c r="E10" s="15" t="s">
        <v>138</v>
      </c>
    </row>
    <row r="15" spans="3:5" ht="18" x14ac:dyDescent="0.25">
      <c r="C15" s="31" t="s">
        <v>145</v>
      </c>
    </row>
    <row r="16" spans="3:5" x14ac:dyDescent="0.25">
      <c r="C16" s="20"/>
    </row>
    <row r="17" spans="3:3" x14ac:dyDescent="0.25">
      <c r="C17" s="21" t="s">
        <v>146</v>
      </c>
    </row>
    <row r="18" spans="3:3" x14ac:dyDescent="0.25">
      <c r="C18" s="21" t="s">
        <v>147</v>
      </c>
    </row>
    <row r="19" spans="3:3" x14ac:dyDescent="0.25">
      <c r="C19" s="21" t="s">
        <v>148</v>
      </c>
    </row>
    <row r="21" spans="3:3" x14ac:dyDescent="0.25">
      <c r="C2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Sheet1</vt:lpstr>
      <vt:lpstr>DATA MODEL</vt:lpstr>
      <vt:lpstr>Questions</vt:lpstr>
      <vt:lpstr>Data Vault Modeling</vt:lpstr>
      <vt:lpstr>Sheet5</vt:lpstr>
      <vt:lpstr>Vault Model</vt:lpstr>
      <vt:lpstr>Sheet2</vt:lpstr>
      <vt:lpstr>FACT_Sales</vt:lpstr>
      <vt:lpstr>DIM_Product</vt:lpstr>
      <vt:lpstr>DIM_Retail Store</vt:lpstr>
      <vt:lpstr>DIM_Customer</vt:lpstr>
      <vt:lpstr>DIM_Inventory</vt:lpstr>
      <vt:lpstr>DIM_Manufacturer</vt:lpstr>
      <vt:lpstr>DIM_DATE</vt:lpstr>
      <vt:lpstr>DIM PROMOTION</vt:lpstr>
      <vt:lpstr>SQL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Gokula Krishna Gururaja [Student-PECS]</dc:creator>
  <cp:lastModifiedBy>Gokula Krishna Gururaja [Student-PECS]</cp:lastModifiedBy>
  <dcterms:created xsi:type="dcterms:W3CDTF">2026-07-22T08:49:13Z</dcterms:created>
  <dcterms:modified xsi:type="dcterms:W3CDTF">2026-07-27T11:19:02Z</dcterms:modified>
</cp:coreProperties>
</file>